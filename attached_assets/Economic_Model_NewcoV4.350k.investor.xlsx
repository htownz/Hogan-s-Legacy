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 - Revenue" sheetId="1" r:id="rId4"/>
    <sheet state="visible" name="Assumptions - Personnel" sheetId="2" r:id="rId5"/>
    <sheet state="visible" name="Assumptions - Non-Personnel Exp" sheetId="3" r:id="rId6"/>
    <sheet state="visible" name="Assumpt.-Equity &amp; Bal Sheet " sheetId="4" r:id="rId7"/>
    <sheet state="visible" name="Balance Sheets " sheetId="5" r:id="rId8"/>
    <sheet state="visible" name="Income Statements" sheetId="6" r:id="rId9"/>
    <sheet state="visible" name="Cash Flow Statements" sheetId="7" r:id="rId10"/>
  </sheets>
  <definedNames/>
  <calcPr/>
  <extLst>
    <ext uri="GoogleSheetsCustomDataVersion2">
      <go:sheetsCustomData xmlns:go="http://customooxmlschemas.google.com/" r:id="rId11" roundtripDataChecksum="5b5lPinlRn1oLY52IHBxlTKWV83XJm/IgGH0AFLZtwU="/>
    </ext>
  </extLst>
</workbook>
</file>

<file path=xl/sharedStrings.xml><?xml version="1.0" encoding="utf-8"?>
<sst xmlns="http://schemas.openxmlformats.org/spreadsheetml/2006/main" count="264" uniqueCount="137">
  <si>
    <t>Assumptions - Revenue, License Rates, Subscribers</t>
  </si>
  <si>
    <t>Subscribers at End of Period</t>
  </si>
  <si>
    <t xml:space="preserve"> * Shaded assumptions can be edited</t>
  </si>
  <si>
    <t>Year 1 Ramp Up</t>
  </si>
  <si>
    <t>Initial Rate / Month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</si>
  <si>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</si>
  <si>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</si>
  <si>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</si>
  <si>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</si>
  <si>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</si>
  <si>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</si>
  <si>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</si>
  <si>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</si>
  <si>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</si>
  <si>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</si>
  <si>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</si>
  <si>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 xml:space="preserve">Aug </t>
  </si>
  <si>
    <t xml:space="preserve">Total Yr 1 </t>
  </si>
  <si>
    <t>Year 2</t>
  </si>
  <si>
    <t>Year 3</t>
  </si>
  <si>
    <t>Year 4</t>
  </si>
  <si>
    <t>Year 5</t>
  </si>
  <si>
    <t>Individual License</t>
  </si>
  <si>
    <t>Individual Plus Five Licenses</t>
  </si>
  <si>
    <t>Individual Plus Ten Licenses</t>
  </si>
  <si>
    <t>Unlimited</t>
  </si>
  <si>
    <t>Total Subscribers</t>
  </si>
  <si>
    <t>Subscription Inflation Rate</t>
  </si>
  <si>
    <t xml:space="preserve">  Year 1</t>
  </si>
  <si>
    <t xml:space="preserve">  Year 2</t>
  </si>
  <si>
    <t xml:space="preserve">  Year 3</t>
  </si>
  <si>
    <t xml:space="preserve">  Year 4</t>
  </si>
  <si>
    <t xml:space="preserve">  Year 5</t>
  </si>
  <si>
    <t>Annual Churn on Subscriptions</t>
  </si>
  <si>
    <r>
      <rPr>
        <rFont val="Arial"/>
        <color theme="1"/>
        <sz val="10.0"/>
      </rPr>
      <t xml:space="preserve">The model does not </t>
    </r>
    <r>
      <rPr>
        <rFont val="Arial"/>
        <b/>
        <i/>
        <color theme="1"/>
        <sz val="10.0"/>
      </rPr>
      <t>currently</t>
    </r>
    <r>
      <rPr>
        <rFont val="Arial"/>
        <color theme="1"/>
        <sz val="10.0"/>
      </rPr>
      <t xml:space="preserve"> calculate any results based on these assumptions.</t>
    </r>
  </si>
  <si>
    <t>Marketing Subscriber Conversion Rate</t>
  </si>
  <si>
    <t>Organic Traffic Subscriber Conversion Rate</t>
  </si>
  <si>
    <t>Total Market</t>
  </si>
  <si>
    <t>Market Share</t>
  </si>
  <si>
    <t>Calculation Tables</t>
  </si>
  <si>
    <t>Year 1</t>
  </si>
  <si>
    <t>Monthly License Rate with Inflation Rates</t>
  </si>
  <si>
    <t xml:space="preserve">   Individual License</t>
  </si>
  <si>
    <t xml:space="preserve">   Individual Plus Five Licenses</t>
  </si>
  <si>
    <t xml:space="preserve">   Individual Plus Ten Licenses</t>
  </si>
  <si>
    <t xml:space="preserve">   Unlimited</t>
  </si>
  <si>
    <t>Assumptions - Personnel, Contract Labor, Salary Expense</t>
  </si>
  <si>
    <t>Contract Labor Expense</t>
  </si>
  <si>
    <t xml:space="preserve">   Technology Development / Customer Service</t>
  </si>
  <si>
    <t xml:space="preserve">   Sales</t>
  </si>
  <si>
    <t xml:space="preserve">   Data Collection</t>
  </si>
  <si>
    <t>Total Contract Labor Expense</t>
  </si>
  <si>
    <t>Employee Salary Expense</t>
  </si>
  <si>
    <t xml:space="preserve">   CEO</t>
  </si>
  <si>
    <t xml:space="preserve">   COO</t>
  </si>
  <si>
    <t xml:space="preserve">   CSO</t>
  </si>
  <si>
    <t xml:space="preserve">   Administrative Support</t>
  </si>
  <si>
    <t>Total Employee Salary Expense</t>
  </si>
  <si>
    <t>Fringe Benefit Rate</t>
  </si>
  <si>
    <t>Assumptions - Non-Personnel Expenses</t>
  </si>
  <si>
    <r>
      <rPr>
        <rFont val="Calibri"/>
        <color theme="1"/>
      </rPr>
      <t>Technology Engineering &amp; Development -</t>
    </r>
    <r>
      <rPr>
        <rFont val="Calibri"/>
        <b/>
        <color theme="1"/>
        <sz val="11.0"/>
      </rPr>
      <t xml:space="preserve"> Capitalized</t>
    </r>
  </si>
  <si>
    <t xml:space="preserve">   Initial</t>
  </si>
  <si>
    <t xml:space="preserve">   Local Government Addition</t>
  </si>
  <si>
    <t xml:space="preserve">   Other States Addition</t>
  </si>
  <si>
    <r>
      <rPr>
        <rFont val="Calibri"/>
        <color theme="1"/>
      </rPr>
      <t xml:space="preserve">Total Technology Engineering &amp; Development - </t>
    </r>
    <r>
      <rPr>
        <rFont val="Calibri"/>
        <b/>
        <color theme="1"/>
        <sz val="11.0"/>
      </rPr>
      <t>Capitalized</t>
    </r>
  </si>
  <si>
    <t>Technology Maintenance - Operating Expense</t>
  </si>
  <si>
    <t>Marketing/Advertising</t>
  </si>
  <si>
    <t>Website Hosting, AWS Database, Misc Saas Fees</t>
  </si>
  <si>
    <t>Other Expenses</t>
  </si>
  <si>
    <t xml:space="preserve">   CRM (Hubspot)</t>
  </si>
  <si>
    <t xml:space="preserve">   Travel, events</t>
  </si>
  <si>
    <t xml:space="preserve">   Legal</t>
  </si>
  <si>
    <t>Total Other Expenses</t>
  </si>
  <si>
    <t>Assumptions - Equity &amp; Balance Sheet Assumptions</t>
  </si>
  <si>
    <t>Equity Distribution at End of Period</t>
  </si>
  <si>
    <t xml:space="preserve">Year 1 </t>
  </si>
  <si>
    <t>Equity Ownership</t>
  </si>
  <si>
    <t xml:space="preserve">   Owner A</t>
  </si>
  <si>
    <t xml:space="preserve">   Owner B</t>
  </si>
  <si>
    <t xml:space="preserve">   Owner C</t>
  </si>
  <si>
    <t xml:space="preserve">   Owner D</t>
  </si>
  <si>
    <t xml:space="preserve">   Owner E</t>
  </si>
  <si>
    <t>Total Equity Ownership</t>
  </si>
  <si>
    <t>Rate of Return on Invested Cash</t>
  </si>
  <si>
    <r>
      <rPr>
        <rFont val="Calibri"/>
        <color theme="1"/>
      </rPr>
      <t xml:space="preserve">   (Not </t>
    </r>
    <r>
      <rPr>
        <rFont val="Calibri"/>
        <b/>
        <i/>
        <color theme="1"/>
        <sz val="11.0"/>
      </rPr>
      <t>currently</t>
    </r>
    <r>
      <rPr>
        <rFont val="Calibri"/>
        <color theme="1"/>
        <sz val="11.0"/>
      </rPr>
      <t xml:space="preserve"> built into model)</t>
    </r>
  </si>
  <si>
    <t xml:space="preserve">   Additions (Fixed Assets)</t>
  </si>
  <si>
    <t xml:space="preserve">   Cumulative Fixed Assets</t>
  </si>
  <si>
    <t>Average Depreciable Life (years)</t>
  </si>
  <si>
    <t xml:space="preserve">   1/2 Year Convention in years 2-5</t>
  </si>
  <si>
    <t>Long-Term Borrowing</t>
  </si>
  <si>
    <r>
      <rPr>
        <rFont val="Calibri"/>
        <color theme="1"/>
      </rPr>
      <t xml:space="preserve">   (Not </t>
    </r>
    <r>
      <rPr>
        <rFont val="Calibri"/>
        <b/>
        <i/>
        <color theme="1"/>
        <sz val="11.0"/>
      </rPr>
      <t>currently</t>
    </r>
    <r>
      <rPr>
        <rFont val="Calibri"/>
        <color theme="1"/>
        <sz val="11.0"/>
      </rPr>
      <t xml:space="preserve"> built into model)</t>
    </r>
  </si>
  <si>
    <t>Interest Rate on Long-Term Borrowing</t>
  </si>
  <si>
    <r>
      <rPr>
        <rFont val="Calibri"/>
        <color theme="1"/>
      </rPr>
      <t xml:space="preserve">   (Not </t>
    </r>
    <r>
      <rPr>
        <rFont val="Calibri"/>
        <b/>
        <i/>
        <color theme="1"/>
        <sz val="11.0"/>
      </rPr>
      <t>currently</t>
    </r>
    <r>
      <rPr>
        <rFont val="Calibri"/>
        <color theme="1"/>
        <sz val="11.0"/>
      </rPr>
      <t xml:space="preserve"> built into model)</t>
    </r>
  </si>
  <si>
    <t>Equity Investments</t>
  </si>
  <si>
    <t xml:space="preserve">   Additions</t>
  </si>
  <si>
    <t xml:space="preserve">   Withdrawals</t>
  </si>
  <si>
    <t>Balance Sheets</t>
  </si>
  <si>
    <t>Assets:</t>
  </si>
  <si>
    <t xml:space="preserve">   Cash &amp; Investments</t>
  </si>
  <si>
    <t xml:space="preserve">   Accounts Receivable</t>
  </si>
  <si>
    <t xml:space="preserve">   Fixed Assets</t>
  </si>
  <si>
    <t xml:space="preserve">   Accumulated Depreciation</t>
  </si>
  <si>
    <t xml:space="preserve">   Fixed Assets (Net)</t>
  </si>
  <si>
    <t>Total Assets</t>
  </si>
  <si>
    <t>Liabilities &amp; Equity</t>
  </si>
  <si>
    <t xml:space="preserve">   Accounts Payable</t>
  </si>
  <si>
    <t xml:space="preserve">   Long-Term Debt</t>
  </si>
  <si>
    <t>Total Liabilities</t>
  </si>
  <si>
    <t>Owner's Equity</t>
  </si>
  <si>
    <t>Total Owner's Equity</t>
  </si>
  <si>
    <t>Total Liabilities and Owner's Equity</t>
  </si>
  <si>
    <t>Income Statements</t>
  </si>
  <si>
    <t>Operating Revenue:</t>
  </si>
  <si>
    <t>Total Subscription Revenue</t>
  </si>
  <si>
    <t xml:space="preserve">Other Operating Revenue </t>
  </si>
  <si>
    <t>Total Operating Revenue</t>
  </si>
  <si>
    <t>Operating Expenses:</t>
  </si>
  <si>
    <t xml:space="preserve">   Employee Salary Expense</t>
  </si>
  <si>
    <t xml:space="preserve">   Employee Benefits</t>
  </si>
  <si>
    <t xml:space="preserve">   Contract Labor</t>
  </si>
  <si>
    <t xml:space="preserve">   Marketing/Advertising</t>
  </si>
  <si>
    <t xml:space="preserve">   Website Hosting, AWS Database, Misc Saas Fees</t>
  </si>
  <si>
    <t xml:space="preserve">   Other Expense (Legal,  CRM, Travel)</t>
  </si>
  <si>
    <t xml:space="preserve">   Technology Maintenance</t>
  </si>
  <si>
    <t xml:space="preserve">   Depreciation</t>
  </si>
  <si>
    <t>Total Operating Expenses</t>
  </si>
  <si>
    <t>Excess (Deficit) Revenue Over Expenses</t>
  </si>
  <si>
    <t>Cash Flow Statements</t>
  </si>
  <si>
    <t>Add Back Depreciation</t>
  </si>
  <si>
    <t xml:space="preserve">Operating Cash Flow </t>
  </si>
  <si>
    <t>Sources of Cash:</t>
  </si>
  <si>
    <t xml:space="preserve">   Equity Investments - Additions</t>
  </si>
  <si>
    <t>Uses of Cash:</t>
  </si>
  <si>
    <t xml:space="preserve">   Fixed Asset Purchases</t>
  </si>
  <si>
    <t>Change in Cash</t>
  </si>
  <si>
    <t>Cash at Beginning of Period</t>
  </si>
  <si>
    <t>Cash at End of Period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</si>
</sst>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_);\(&quot;$&quot;#,##0\)"/>
    <numFmt numFmtId="165" formatCode="&quot;$&quot;#,##0"/>
  </numFmts>
  <fonts count="5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/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44546A"/>
        <bgColor rgb="FF44546A"/>
      </patternFill>
    </fill>
    <fill>
      <patternFill patternType="solid">
        <fgColor rgb="FF00B050"/>
        <bgColor rgb="FF00B050"/>
      </patternFill>
    </fill>
  </fills>
  <borders count="6">
    <border/>
    <border>
      <bottom style="thick">
        <color rgb="FF000000"/>
      </bottom>
    </border>
    <border>
      <left/>
      <right/>
      <top/>
      <bottom/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2" fillId="2" fontId="2" numFmtId="0" xfId="0" applyBorder="1" applyFill="1" applyFont="1"/>
    <xf borderId="3" fillId="0" fontId="2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left"/>
    </xf>
    <xf borderId="2" fillId="2" fontId="2" numFmtId="164" xfId="0" applyBorder="1" applyFont="1" applyNumberFormat="1"/>
    <xf borderId="2" fillId="2" fontId="2" numFmtId="37" xfId="0" applyBorder="1" applyFont="1" applyNumberFormat="1"/>
    <xf borderId="2" fillId="3" fontId="2" numFmtId="37" xfId="0" applyBorder="1" applyFill="1" applyFont="1" applyNumberFormat="1"/>
    <xf borderId="0" fillId="0" fontId="2" numFmtId="37" xfId="0" applyFont="1" applyNumberFormat="1"/>
    <xf borderId="0" fillId="0" fontId="4" numFmtId="165" xfId="0" applyAlignment="1" applyFont="1" applyNumberFormat="1">
      <alignment shrinkToFit="0" wrapText="1"/>
    </xf>
    <xf borderId="4" fillId="2" fontId="2" numFmtId="37" xfId="0" applyBorder="1" applyFont="1" applyNumberFormat="1"/>
    <xf borderId="4" fillId="3" fontId="2" numFmtId="37" xfId="0" applyBorder="1" applyFont="1" applyNumberFormat="1"/>
    <xf borderId="0" fillId="0" fontId="4" numFmtId="0" xfId="0" applyFont="1"/>
    <xf borderId="3" fillId="0" fontId="2" numFmtId="37" xfId="0" applyBorder="1" applyFont="1" applyNumberFormat="1"/>
    <xf borderId="2" fillId="2" fontId="4" numFmtId="9" xfId="0" applyAlignment="1" applyBorder="1" applyFont="1" applyNumberFormat="1">
      <alignment shrinkToFit="0" wrapText="1"/>
    </xf>
    <xf borderId="0" fillId="0" fontId="4" numFmtId="165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2" fillId="4" fontId="2" numFmtId="0" xfId="0" applyBorder="1" applyFill="1" applyFont="1"/>
    <xf borderId="2" fillId="4" fontId="4" numFmtId="0" xfId="0" applyBorder="1" applyFont="1"/>
    <xf borderId="2" fillId="4" fontId="2" numFmtId="0" xfId="0" applyAlignment="1" applyBorder="1" applyFont="1">
      <alignment shrinkToFit="0" wrapText="1"/>
    </xf>
    <xf borderId="4" fillId="5" fontId="2" numFmtId="0" xfId="0" applyBorder="1" applyFill="1" applyFont="1"/>
    <xf borderId="0" fillId="0" fontId="2" numFmtId="0" xfId="0" applyFont="1"/>
    <xf borderId="0" fillId="0" fontId="2" numFmtId="164" xfId="0" applyFont="1" applyNumberFormat="1"/>
    <xf borderId="0" fillId="0" fontId="4" numFmtId="10" xfId="0" applyAlignment="1" applyFont="1" applyNumberFormat="1">
      <alignment shrinkToFit="0" wrapText="1"/>
    </xf>
    <xf borderId="2" fillId="2" fontId="2" numFmtId="9" xfId="0" applyBorder="1" applyFont="1" applyNumberFormat="1"/>
    <xf borderId="2" fillId="2" fontId="2" numFmtId="10" xfId="0" applyAlignment="1" applyBorder="1" applyFont="1" applyNumberFormat="1">
      <alignment readingOrder="0"/>
    </xf>
    <xf borderId="0" fillId="0" fontId="2" numFmtId="10" xfId="0" applyFont="1" applyNumberFormat="1"/>
    <xf borderId="2" fillId="2" fontId="2" numFmtId="10" xfId="0" applyBorder="1" applyFont="1" applyNumberFormat="1"/>
    <xf borderId="4" fillId="2" fontId="2" numFmtId="10" xfId="0" applyBorder="1" applyFont="1" applyNumberFormat="1"/>
    <xf borderId="3" fillId="0" fontId="2" numFmtId="10" xfId="0" applyBorder="1" applyFont="1" applyNumberFormat="1"/>
    <xf borderId="2" fillId="3" fontId="2" numFmtId="9" xfId="0" applyBorder="1" applyFont="1" applyNumberFormat="1"/>
    <xf borderId="2" fillId="3" fontId="2" numFmtId="0" xfId="0" applyBorder="1" applyFont="1"/>
    <xf borderId="2" fillId="2" fontId="2" numFmtId="37" xfId="0" applyAlignment="1" applyBorder="1" applyFont="1" applyNumberFormat="1">
      <alignment readingOrder="0"/>
    </xf>
    <xf borderId="5" fillId="0" fontId="2" numFmtId="37" xfId="0" applyBorder="1" applyFont="1" applyNumberFormat="1"/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29"/>
    <col customWidth="1" min="3" max="3" width="8.71"/>
    <col customWidth="1" min="4" max="4" width="1.43"/>
    <col customWidth="1" min="5" max="6" width="9.86"/>
    <col customWidth="1" min="7" max="26" width="8.71"/>
  </cols>
  <sheetData>
    <row r="1" ht="14.25" customHeight="1"/>
    <row r="2" ht="14.25" customHeight="1">
      <c r="A2" s="1" t="s">
        <v>0</v>
      </c>
    </row>
    <row r="3" ht="14.25" customHeight="1">
      <c r="G3" s="2" t="s">
        <v>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14.25" customHeight="1">
      <c r="A4" s="4" t="s">
        <v>2</v>
      </c>
      <c r="B4" s="4"/>
      <c r="G4" s="2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14.25" customHeight="1">
      <c r="E5" s="5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14</v>
      </c>
      <c r="Q5" s="6" t="s">
        <v>15</v>
      </c>
      <c r="R5" s="6" t="s">
        <v>16</v>
      </c>
      <c r="S5" s="6" t="s">
        <v>17</v>
      </c>
      <c r="T5" s="6" t="s">
        <v>18</v>
      </c>
      <c r="U5" s="6" t="s">
        <v>19</v>
      </c>
      <c r="V5" s="6" t="s">
        <v>20</v>
      </c>
      <c r="W5" s="6" t="s">
        <v>21</v>
      </c>
    </row>
    <row r="6" ht="14.25" customHeight="1"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ht="14.25" customHeight="1">
      <c r="B7" s="9" t="s">
        <v>22</v>
      </c>
      <c r="E7" s="10">
        <v>100.0</v>
      </c>
      <c r="G7" s="11">
        <v>0.0</v>
      </c>
      <c r="H7" s="11">
        <v>0.0</v>
      </c>
      <c r="I7" s="11">
        <v>0.0</v>
      </c>
      <c r="J7" s="11">
        <v>0.0</v>
      </c>
      <c r="K7" s="11">
        <v>0.0</v>
      </c>
      <c r="L7" s="11">
        <v>0.0</v>
      </c>
      <c r="M7" s="11">
        <v>0.0</v>
      </c>
      <c r="N7" s="11">
        <v>35.0</v>
      </c>
      <c r="O7" s="11">
        <v>100.0</v>
      </c>
      <c r="P7" s="11">
        <v>250.0</v>
      </c>
      <c r="Q7" s="11">
        <v>300.0</v>
      </c>
      <c r="R7" s="11">
        <v>450.0</v>
      </c>
      <c r="S7" s="12">
        <f t="shared" ref="S7:S10" si="1">R7</f>
        <v>450</v>
      </c>
      <c r="T7" s="11">
        <v>800.0</v>
      </c>
      <c r="U7" s="11">
        <v>1000.0</v>
      </c>
      <c r="V7" s="11">
        <v>1250.0</v>
      </c>
      <c r="W7" s="11">
        <v>1500.0</v>
      </c>
      <c r="X7" s="13"/>
    </row>
    <row r="8" ht="14.25" customHeight="1">
      <c r="B8" s="9" t="s">
        <v>23</v>
      </c>
      <c r="E8" s="10">
        <v>350.0</v>
      </c>
      <c r="G8" s="11">
        <v>0.0</v>
      </c>
      <c r="H8" s="11">
        <v>0.0</v>
      </c>
      <c r="I8" s="11">
        <v>0.0</v>
      </c>
      <c r="J8" s="11">
        <v>0.0</v>
      </c>
      <c r="K8" s="11">
        <v>0.0</v>
      </c>
      <c r="L8" s="11">
        <v>0.0</v>
      </c>
      <c r="M8" s="11">
        <v>0.0</v>
      </c>
      <c r="N8" s="11">
        <v>5.0</v>
      </c>
      <c r="O8" s="11">
        <v>8.0</v>
      </c>
      <c r="P8" s="11">
        <v>20.0</v>
      </c>
      <c r="Q8" s="11">
        <v>25.0</v>
      </c>
      <c r="R8" s="11">
        <v>50.0</v>
      </c>
      <c r="S8" s="12">
        <f t="shared" si="1"/>
        <v>50</v>
      </c>
      <c r="T8" s="11">
        <v>100.0</v>
      </c>
      <c r="U8" s="11">
        <v>140.0</v>
      </c>
      <c r="V8" s="11">
        <v>150.0</v>
      </c>
      <c r="W8" s="11">
        <v>350.0</v>
      </c>
      <c r="X8" s="13"/>
    </row>
    <row r="9" ht="14.25" customHeight="1">
      <c r="B9" s="9" t="s">
        <v>24</v>
      </c>
      <c r="E9" s="10">
        <v>600.0</v>
      </c>
      <c r="G9" s="11">
        <v>0.0</v>
      </c>
      <c r="H9" s="11">
        <v>0.0</v>
      </c>
      <c r="I9" s="11">
        <v>0.0</v>
      </c>
      <c r="J9" s="11">
        <v>0.0</v>
      </c>
      <c r="K9" s="11">
        <v>0.0</v>
      </c>
      <c r="L9" s="11">
        <v>0.0</v>
      </c>
      <c r="M9" s="11">
        <v>0.0</v>
      </c>
      <c r="N9" s="11">
        <v>1.0</v>
      </c>
      <c r="O9" s="11">
        <v>3.0</v>
      </c>
      <c r="P9" s="11">
        <v>10.0</v>
      </c>
      <c r="Q9" s="11">
        <v>15.0</v>
      </c>
      <c r="R9" s="11">
        <v>25.0</v>
      </c>
      <c r="S9" s="12">
        <f t="shared" si="1"/>
        <v>25</v>
      </c>
      <c r="T9" s="11">
        <v>30.0</v>
      </c>
      <c r="U9" s="11">
        <v>40.0</v>
      </c>
      <c r="V9" s="11">
        <v>75.0</v>
      </c>
      <c r="W9" s="11">
        <v>100.0</v>
      </c>
      <c r="X9" s="13"/>
    </row>
    <row r="10" ht="14.25" customHeight="1">
      <c r="B10" s="9" t="s">
        <v>25</v>
      </c>
      <c r="C10" s="14"/>
      <c r="E10" s="10">
        <v>1250.0</v>
      </c>
      <c r="G10" s="15">
        <v>0.0</v>
      </c>
      <c r="H10" s="15">
        <v>0.0</v>
      </c>
      <c r="I10" s="15">
        <v>0.0</v>
      </c>
      <c r="J10" s="15">
        <v>0.0</v>
      </c>
      <c r="K10" s="15">
        <v>0.0</v>
      </c>
      <c r="L10" s="15">
        <v>0.0</v>
      </c>
      <c r="M10" s="15">
        <v>0.0</v>
      </c>
      <c r="N10" s="15">
        <v>0.0</v>
      </c>
      <c r="O10" s="15">
        <v>1.0</v>
      </c>
      <c r="P10" s="15">
        <v>3.0</v>
      </c>
      <c r="Q10" s="15">
        <v>5.0</v>
      </c>
      <c r="R10" s="15">
        <v>8.0</v>
      </c>
      <c r="S10" s="16">
        <f t="shared" si="1"/>
        <v>8</v>
      </c>
      <c r="T10" s="15">
        <v>10.0</v>
      </c>
      <c r="U10" s="15">
        <v>12.0</v>
      </c>
      <c r="V10" s="15">
        <v>30.0</v>
      </c>
      <c r="W10" s="15">
        <v>50.0</v>
      </c>
      <c r="X10" s="13"/>
    </row>
    <row r="11" ht="14.25" customHeight="1">
      <c r="B11" s="9"/>
      <c r="C11" s="14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ht="14.25" customHeight="1">
      <c r="B12" s="17" t="s">
        <v>26</v>
      </c>
      <c r="C12" s="14"/>
      <c r="G12" s="18">
        <f t="shared" ref="G12:W12" si="2">SUM(G7:G10)</f>
        <v>0</v>
      </c>
      <c r="H12" s="18">
        <f t="shared" si="2"/>
        <v>0</v>
      </c>
      <c r="I12" s="18">
        <f t="shared" si="2"/>
        <v>0</v>
      </c>
      <c r="J12" s="18">
        <f t="shared" si="2"/>
        <v>0</v>
      </c>
      <c r="K12" s="18">
        <f t="shared" si="2"/>
        <v>0</v>
      </c>
      <c r="L12" s="18">
        <f t="shared" si="2"/>
        <v>0</v>
      </c>
      <c r="M12" s="18">
        <f t="shared" si="2"/>
        <v>0</v>
      </c>
      <c r="N12" s="18">
        <f t="shared" si="2"/>
        <v>41</v>
      </c>
      <c r="O12" s="18">
        <f t="shared" si="2"/>
        <v>112</v>
      </c>
      <c r="P12" s="18">
        <f t="shared" si="2"/>
        <v>283</v>
      </c>
      <c r="Q12" s="18">
        <f t="shared" si="2"/>
        <v>345</v>
      </c>
      <c r="R12" s="18">
        <f t="shared" si="2"/>
        <v>533</v>
      </c>
      <c r="S12" s="18">
        <f t="shared" si="2"/>
        <v>533</v>
      </c>
      <c r="T12" s="18">
        <f t="shared" si="2"/>
        <v>940</v>
      </c>
      <c r="U12" s="18">
        <f t="shared" si="2"/>
        <v>1192</v>
      </c>
      <c r="V12" s="18">
        <f t="shared" si="2"/>
        <v>1505</v>
      </c>
      <c r="W12" s="18">
        <f t="shared" si="2"/>
        <v>2000</v>
      </c>
      <c r="X12" s="13"/>
    </row>
    <row r="13" ht="14.25" customHeight="1">
      <c r="B13" s="17"/>
      <c r="C13" s="14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ht="14.25" customHeight="1">
      <c r="B14" s="17" t="s">
        <v>27</v>
      </c>
      <c r="C14" s="14"/>
    </row>
    <row r="15" ht="14.25" customHeight="1">
      <c r="B15" s="17" t="s">
        <v>28</v>
      </c>
      <c r="C15" s="19">
        <v>0.0</v>
      </c>
    </row>
    <row r="16" ht="14.25" customHeight="1">
      <c r="B16" s="17" t="s">
        <v>29</v>
      </c>
      <c r="C16" s="19">
        <v>0.0</v>
      </c>
    </row>
    <row r="17" ht="14.25" customHeight="1">
      <c r="B17" s="17" t="s">
        <v>30</v>
      </c>
      <c r="C17" s="19">
        <v>0.1</v>
      </c>
    </row>
    <row r="18" ht="14.25" customHeight="1">
      <c r="B18" s="17" t="s">
        <v>31</v>
      </c>
      <c r="C18" s="19">
        <v>0.0</v>
      </c>
    </row>
    <row r="19" ht="14.25" customHeight="1">
      <c r="B19" s="17" t="s">
        <v>32</v>
      </c>
      <c r="C19" s="19">
        <v>0.1</v>
      </c>
    </row>
    <row r="20" ht="14.25" customHeight="1">
      <c r="B20" s="17"/>
      <c r="C20" s="14"/>
    </row>
    <row r="21" ht="14.25" customHeight="1">
      <c r="B21" s="17" t="s">
        <v>33</v>
      </c>
      <c r="C21" s="20" t="s">
        <v>34</v>
      </c>
    </row>
    <row r="22" ht="14.25" customHeight="1">
      <c r="B22" s="17"/>
    </row>
    <row r="23" ht="14.25" customHeight="1">
      <c r="B23" s="17" t="s">
        <v>35</v>
      </c>
    </row>
    <row r="24" ht="14.25" customHeight="1">
      <c r="B24" s="17"/>
    </row>
    <row r="25" ht="14.25" customHeight="1">
      <c r="B25" s="17" t="s">
        <v>36</v>
      </c>
    </row>
    <row r="26" ht="14.25" customHeight="1">
      <c r="B26" s="17"/>
    </row>
    <row r="27" ht="14.25" customHeight="1">
      <c r="B27" s="17" t="s">
        <v>37</v>
      </c>
    </row>
    <row r="28" ht="14.25" customHeight="1">
      <c r="B28" s="17"/>
    </row>
    <row r="29" ht="14.25" customHeight="1">
      <c r="B29" s="17" t="s">
        <v>38</v>
      </c>
    </row>
    <row r="30" ht="14.25" customHeight="1">
      <c r="B30" s="17"/>
      <c r="C30" s="21"/>
    </row>
    <row r="31" ht="14.25" customHeight="1">
      <c r="A31" s="22"/>
      <c r="B31" s="23"/>
      <c r="C31" s="2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ht="14.25" customHeight="1">
      <c r="B32" s="25" t="s">
        <v>39</v>
      </c>
      <c r="E32" s="1" t="s">
        <v>40</v>
      </c>
      <c r="F32" s="1" t="s">
        <v>18</v>
      </c>
      <c r="G32" s="1" t="s">
        <v>19</v>
      </c>
      <c r="H32" s="1" t="s">
        <v>20</v>
      </c>
      <c r="I32" s="1" t="s">
        <v>21</v>
      </c>
    </row>
    <row r="33" ht="14.25" customHeight="1">
      <c r="B33" s="26" t="s">
        <v>41</v>
      </c>
    </row>
    <row r="34" ht="14.25" customHeight="1">
      <c r="B34" s="9" t="s">
        <v>42</v>
      </c>
      <c r="C34" s="14"/>
      <c r="E34" s="27">
        <f t="shared" ref="E34:E37" si="3">E7*(1+C$15)</f>
        <v>100</v>
      </c>
      <c r="F34" s="27">
        <f t="shared" ref="F34:F37" si="4">E34*(1+$C$16)</f>
        <v>100</v>
      </c>
      <c r="G34" s="27">
        <f t="shared" ref="G34:G37" si="5">F34*(1+$C$17)</f>
        <v>110</v>
      </c>
      <c r="H34" s="27">
        <f t="shared" ref="H34:H37" si="6">G34*(1+$C$18)</f>
        <v>110</v>
      </c>
      <c r="I34" s="27">
        <f t="shared" ref="I34:I37" si="7">H34*(1+$C$19)</f>
        <v>121</v>
      </c>
    </row>
    <row r="35" ht="14.25" customHeight="1">
      <c r="B35" s="9" t="s">
        <v>43</v>
      </c>
      <c r="C35" s="14"/>
      <c r="E35" s="27">
        <f t="shared" si="3"/>
        <v>350</v>
      </c>
      <c r="F35" s="27">
        <f t="shared" si="4"/>
        <v>350</v>
      </c>
      <c r="G35" s="27">
        <f t="shared" si="5"/>
        <v>385</v>
      </c>
      <c r="H35" s="27">
        <f t="shared" si="6"/>
        <v>385</v>
      </c>
      <c r="I35" s="27">
        <f t="shared" si="7"/>
        <v>423.5</v>
      </c>
    </row>
    <row r="36" ht="14.25" customHeight="1">
      <c r="B36" s="9" t="s">
        <v>44</v>
      </c>
      <c r="C36" s="14"/>
      <c r="E36" s="27">
        <f t="shared" si="3"/>
        <v>600</v>
      </c>
      <c r="F36" s="27">
        <f t="shared" si="4"/>
        <v>600</v>
      </c>
      <c r="G36" s="27">
        <f t="shared" si="5"/>
        <v>660</v>
      </c>
      <c r="H36" s="27">
        <f t="shared" si="6"/>
        <v>660</v>
      </c>
      <c r="I36" s="27">
        <f t="shared" si="7"/>
        <v>726</v>
      </c>
    </row>
    <row r="37" ht="14.25" customHeight="1">
      <c r="B37" s="9" t="s">
        <v>45</v>
      </c>
      <c r="C37" s="21"/>
      <c r="E37" s="27">
        <f t="shared" si="3"/>
        <v>1250</v>
      </c>
      <c r="F37" s="27">
        <f t="shared" si="4"/>
        <v>1250</v>
      </c>
      <c r="G37" s="27">
        <f t="shared" si="5"/>
        <v>1375</v>
      </c>
      <c r="H37" s="27">
        <f t="shared" si="6"/>
        <v>1375</v>
      </c>
      <c r="I37" s="27">
        <f t="shared" si="7"/>
        <v>1512.5</v>
      </c>
    </row>
    <row r="38" ht="14.25" customHeight="1">
      <c r="B38" s="17"/>
      <c r="C38" s="21"/>
    </row>
    <row r="39" ht="14.25" customHeight="1">
      <c r="B39" s="17"/>
      <c r="C39" s="14"/>
    </row>
    <row r="40" ht="14.25" customHeight="1">
      <c r="B40" s="17"/>
      <c r="C40" s="28"/>
    </row>
    <row r="41" ht="14.25" customHeight="1">
      <c r="B41" s="17"/>
      <c r="C41" s="14"/>
    </row>
    <row r="42" ht="14.25" customHeight="1">
      <c r="B42" s="17"/>
      <c r="C42" s="14"/>
    </row>
    <row r="43" ht="14.25" customHeight="1">
      <c r="B43" s="17"/>
      <c r="C43" s="14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W3"/>
    <mergeCell ref="G4:S4"/>
    <mergeCell ref="C21:F2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29"/>
    <col customWidth="1" min="3" max="3" width="9.57"/>
    <col customWidth="1" min="4" max="4" width="1.71"/>
    <col customWidth="1" min="5" max="26" width="8.71"/>
  </cols>
  <sheetData>
    <row r="1" ht="14.25" customHeight="1"/>
    <row r="2" ht="14.25" customHeight="1">
      <c r="A2" s="1" t="s">
        <v>46</v>
      </c>
    </row>
    <row r="3" ht="14.25" customHeight="1"/>
    <row r="4" ht="14.25" customHeight="1"/>
    <row r="5" ht="14.25" customHeight="1">
      <c r="A5" s="4" t="s">
        <v>2</v>
      </c>
      <c r="B5" s="4"/>
      <c r="G5" s="2" t="s">
        <v>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ht="14.25" customHeight="1">
      <c r="E6" s="7"/>
      <c r="G6" s="6" t="s">
        <v>5</v>
      </c>
      <c r="H6" s="6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11</v>
      </c>
      <c r="N6" s="6" t="s">
        <v>12</v>
      </c>
      <c r="O6" s="6" t="s">
        <v>13</v>
      </c>
      <c r="P6" s="6" t="s">
        <v>14</v>
      </c>
      <c r="Q6" s="6" t="s">
        <v>15</v>
      </c>
      <c r="R6" s="6" t="s">
        <v>16</v>
      </c>
      <c r="S6" s="6" t="s">
        <v>17</v>
      </c>
      <c r="T6" s="6" t="s">
        <v>18</v>
      </c>
      <c r="U6" s="6" t="s">
        <v>19</v>
      </c>
      <c r="V6" s="6" t="s">
        <v>20</v>
      </c>
      <c r="W6" s="6" t="s">
        <v>21</v>
      </c>
    </row>
    <row r="7" ht="14.25" customHeight="1">
      <c r="B7" s="1" t="s">
        <v>47</v>
      </c>
    </row>
    <row r="8" ht="14.25" customHeight="1">
      <c r="B8" s="9" t="s">
        <v>48</v>
      </c>
      <c r="G8" s="11">
        <v>4166.0</v>
      </c>
      <c r="H8" s="11">
        <v>4166.0</v>
      </c>
      <c r="I8" s="11">
        <v>4166.0</v>
      </c>
      <c r="J8" s="11">
        <v>4166.0</v>
      </c>
      <c r="K8" s="11">
        <v>4166.0</v>
      </c>
      <c r="L8" s="11">
        <v>4166.0</v>
      </c>
      <c r="M8" s="11">
        <v>4166.0</v>
      </c>
      <c r="N8" s="11">
        <v>4166.0</v>
      </c>
      <c r="O8" s="11">
        <v>4166.0</v>
      </c>
      <c r="P8" s="11">
        <v>4166.0</v>
      </c>
      <c r="Q8" s="11">
        <v>4166.0</v>
      </c>
      <c r="R8" s="11">
        <v>4174.0</v>
      </c>
      <c r="S8" s="13">
        <f t="shared" ref="S8:S10" si="1">SUM(G8:R8)</f>
        <v>50000</v>
      </c>
      <c r="T8" s="11">
        <v>50000.0</v>
      </c>
      <c r="U8" s="11">
        <v>50000.0</v>
      </c>
      <c r="V8" s="11">
        <v>50000.0</v>
      </c>
      <c r="W8" s="11">
        <v>50000.0</v>
      </c>
    </row>
    <row r="9" ht="14.25" customHeight="1">
      <c r="B9" s="9" t="s">
        <v>49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3">
        <f t="shared" si="1"/>
        <v>0</v>
      </c>
      <c r="T9" s="11">
        <v>50000.0</v>
      </c>
      <c r="U9" s="11">
        <v>150000.0</v>
      </c>
      <c r="V9" s="11">
        <v>200000.0</v>
      </c>
      <c r="W9" s="11">
        <v>250000.0</v>
      </c>
    </row>
    <row r="10" ht="14.25" customHeight="1">
      <c r="B10" s="9" t="s">
        <v>50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8">
        <f t="shared" si="1"/>
        <v>0</v>
      </c>
      <c r="T10" s="15">
        <v>50000.0</v>
      </c>
      <c r="U10" s="15">
        <v>50000.0</v>
      </c>
      <c r="V10" s="15">
        <v>50000.0</v>
      </c>
      <c r="W10" s="15">
        <v>50000.0</v>
      </c>
    </row>
    <row r="11" ht="14.25" customHeight="1"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ht="14.25" customHeight="1">
      <c r="B12" s="9" t="s">
        <v>51</v>
      </c>
      <c r="G12" s="13">
        <f t="shared" ref="G12:W12" si="2">SUM(G8:G10)</f>
        <v>4166</v>
      </c>
      <c r="H12" s="13">
        <f t="shared" si="2"/>
        <v>4166</v>
      </c>
      <c r="I12" s="13">
        <f t="shared" si="2"/>
        <v>4166</v>
      </c>
      <c r="J12" s="13">
        <f t="shared" si="2"/>
        <v>4166</v>
      </c>
      <c r="K12" s="13">
        <f t="shared" si="2"/>
        <v>4166</v>
      </c>
      <c r="L12" s="13">
        <f t="shared" si="2"/>
        <v>4166</v>
      </c>
      <c r="M12" s="13">
        <f t="shared" si="2"/>
        <v>4166</v>
      </c>
      <c r="N12" s="13">
        <f t="shared" si="2"/>
        <v>4166</v>
      </c>
      <c r="O12" s="13">
        <f t="shared" si="2"/>
        <v>4166</v>
      </c>
      <c r="P12" s="13">
        <f t="shared" si="2"/>
        <v>4166</v>
      </c>
      <c r="Q12" s="13">
        <f t="shared" si="2"/>
        <v>4166</v>
      </c>
      <c r="R12" s="13">
        <f t="shared" si="2"/>
        <v>4174</v>
      </c>
      <c r="S12" s="13">
        <f t="shared" si="2"/>
        <v>50000</v>
      </c>
      <c r="T12" s="13">
        <f t="shared" si="2"/>
        <v>150000</v>
      </c>
      <c r="U12" s="13">
        <f t="shared" si="2"/>
        <v>250000</v>
      </c>
      <c r="V12" s="13">
        <f t="shared" si="2"/>
        <v>300000</v>
      </c>
      <c r="W12" s="13">
        <f t="shared" si="2"/>
        <v>350000</v>
      </c>
    </row>
    <row r="13" ht="14.25" customHeight="1"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ht="14.25" customHeight="1"/>
    <row r="15" ht="14.25" customHeight="1"/>
    <row r="16" ht="14.25" customHeight="1">
      <c r="B16" s="1" t="s">
        <v>52</v>
      </c>
    </row>
    <row r="17" ht="14.25" customHeight="1">
      <c r="B17" s="1" t="s">
        <v>53</v>
      </c>
      <c r="G17" s="11">
        <v>6250.0</v>
      </c>
      <c r="H17" s="11">
        <v>6250.0</v>
      </c>
      <c r="I17" s="11">
        <v>6250.0</v>
      </c>
      <c r="J17" s="11">
        <v>6250.0</v>
      </c>
      <c r="K17" s="11">
        <v>6250.0</v>
      </c>
      <c r="L17" s="11">
        <v>6250.0</v>
      </c>
      <c r="M17" s="11">
        <v>6250.0</v>
      </c>
      <c r="N17" s="11">
        <v>6250.0</v>
      </c>
      <c r="O17" s="11">
        <v>6250.0</v>
      </c>
      <c r="P17" s="11">
        <v>6250.0</v>
      </c>
      <c r="Q17" s="11">
        <v>6250.0</v>
      </c>
      <c r="R17" s="11">
        <v>6250.0</v>
      </c>
      <c r="S17" s="13">
        <f t="shared" ref="S17:S20" si="3">SUM(G17:R17)</f>
        <v>75000</v>
      </c>
      <c r="T17" s="11">
        <v>125000.0</v>
      </c>
      <c r="U17" s="11">
        <v>150000.0</v>
      </c>
      <c r="V17" s="11">
        <v>175000.0</v>
      </c>
      <c r="W17" s="11">
        <v>200000.0</v>
      </c>
    </row>
    <row r="18" ht="14.25" customHeight="1">
      <c r="B18" s="1" t="s">
        <v>54</v>
      </c>
      <c r="G18" s="11">
        <v>5000.0</v>
      </c>
      <c r="H18" s="11">
        <v>5000.0</v>
      </c>
      <c r="I18" s="11">
        <v>5000.0</v>
      </c>
      <c r="J18" s="11">
        <v>5000.0</v>
      </c>
      <c r="K18" s="11">
        <v>5000.0</v>
      </c>
      <c r="L18" s="11">
        <v>5000.0</v>
      </c>
      <c r="M18" s="11">
        <v>5000.0</v>
      </c>
      <c r="N18" s="11">
        <v>5000.0</v>
      </c>
      <c r="O18" s="11">
        <v>5000.0</v>
      </c>
      <c r="P18" s="11">
        <v>5000.0</v>
      </c>
      <c r="Q18" s="11">
        <v>5000.0</v>
      </c>
      <c r="R18" s="11">
        <v>5000.0</v>
      </c>
      <c r="S18" s="13">
        <f t="shared" si="3"/>
        <v>60000</v>
      </c>
      <c r="T18" s="11">
        <v>100000.0</v>
      </c>
      <c r="U18" s="11">
        <v>125000.0</v>
      </c>
      <c r="V18" s="11">
        <v>150000.0</v>
      </c>
      <c r="W18" s="11">
        <v>175000.0</v>
      </c>
    </row>
    <row r="19" ht="14.25" customHeight="1">
      <c r="B19" s="1" t="s">
        <v>55</v>
      </c>
      <c r="G19" s="11">
        <v>5000.0</v>
      </c>
      <c r="H19" s="11">
        <v>5000.0</v>
      </c>
      <c r="I19" s="11">
        <v>5000.0</v>
      </c>
      <c r="J19" s="11">
        <v>5000.0</v>
      </c>
      <c r="K19" s="11">
        <v>5000.0</v>
      </c>
      <c r="L19" s="11">
        <v>5000.0</v>
      </c>
      <c r="M19" s="11">
        <v>5000.0</v>
      </c>
      <c r="N19" s="11">
        <v>5000.0</v>
      </c>
      <c r="O19" s="11">
        <v>5000.0</v>
      </c>
      <c r="P19" s="11">
        <v>5000.0</v>
      </c>
      <c r="Q19" s="11">
        <v>5000.0</v>
      </c>
      <c r="R19" s="11">
        <v>5000.0</v>
      </c>
      <c r="S19" s="13">
        <f t="shared" si="3"/>
        <v>60000</v>
      </c>
      <c r="T19" s="11">
        <v>100000.0</v>
      </c>
      <c r="U19" s="11">
        <v>125000.0</v>
      </c>
      <c r="V19" s="11">
        <v>150000.0</v>
      </c>
      <c r="W19" s="11">
        <v>175000.0</v>
      </c>
    </row>
    <row r="20" ht="14.25" customHeight="1">
      <c r="B20" s="1" t="s">
        <v>56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8">
        <f t="shared" si="3"/>
        <v>0</v>
      </c>
      <c r="T20" s="15"/>
      <c r="U20" s="15"/>
      <c r="V20" s="15"/>
      <c r="W20" s="15"/>
    </row>
    <row r="21" ht="14.25" customHeight="1"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ht="14.25" customHeight="1">
      <c r="B22" s="1" t="s">
        <v>57</v>
      </c>
      <c r="G22" s="13">
        <f t="shared" ref="G22:W22" si="4">SUM(G17:G20)</f>
        <v>16250</v>
      </c>
      <c r="H22" s="13">
        <f t="shared" si="4"/>
        <v>16250</v>
      </c>
      <c r="I22" s="13">
        <f t="shared" si="4"/>
        <v>16250</v>
      </c>
      <c r="J22" s="13">
        <f t="shared" si="4"/>
        <v>16250</v>
      </c>
      <c r="K22" s="13">
        <f t="shared" si="4"/>
        <v>16250</v>
      </c>
      <c r="L22" s="13">
        <f t="shared" si="4"/>
        <v>16250</v>
      </c>
      <c r="M22" s="13">
        <f t="shared" si="4"/>
        <v>16250</v>
      </c>
      <c r="N22" s="13">
        <f t="shared" si="4"/>
        <v>16250</v>
      </c>
      <c r="O22" s="13">
        <f t="shared" si="4"/>
        <v>16250</v>
      </c>
      <c r="P22" s="13">
        <f t="shared" si="4"/>
        <v>16250</v>
      </c>
      <c r="Q22" s="13">
        <f t="shared" si="4"/>
        <v>16250</v>
      </c>
      <c r="R22" s="13">
        <f t="shared" si="4"/>
        <v>16250</v>
      </c>
      <c r="S22" s="13">
        <f t="shared" si="4"/>
        <v>195000</v>
      </c>
      <c r="T22" s="13">
        <f t="shared" si="4"/>
        <v>325000</v>
      </c>
      <c r="U22" s="13">
        <f t="shared" si="4"/>
        <v>400000</v>
      </c>
      <c r="V22" s="13">
        <f t="shared" si="4"/>
        <v>475000</v>
      </c>
      <c r="W22" s="13">
        <f t="shared" si="4"/>
        <v>550000</v>
      </c>
    </row>
    <row r="23" ht="14.25" customHeight="1"/>
    <row r="24" ht="14.25" customHeight="1"/>
    <row r="25" ht="14.25" customHeight="1">
      <c r="B25" s="1" t="s">
        <v>58</v>
      </c>
      <c r="C25" s="29">
        <v>0.22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G5:S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7.14"/>
    <col customWidth="1" min="3" max="3" width="9.43"/>
    <col customWidth="1" min="4" max="4" width="1.43"/>
    <col customWidth="1" min="5" max="26" width="8.71"/>
  </cols>
  <sheetData>
    <row r="1" ht="14.25" customHeight="1"/>
    <row r="2" ht="14.25" customHeight="1">
      <c r="A2" s="1" t="s">
        <v>59</v>
      </c>
    </row>
    <row r="3" ht="14.25" customHeight="1"/>
    <row r="4" ht="14.25" customHeight="1"/>
    <row r="5" ht="14.25" customHeight="1">
      <c r="A5" s="4" t="s">
        <v>2</v>
      </c>
      <c r="B5" s="4"/>
      <c r="G5" s="2" t="s">
        <v>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ht="14.25" customHeight="1">
      <c r="E6" s="7"/>
      <c r="G6" s="6" t="s">
        <v>5</v>
      </c>
      <c r="H6" s="6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11</v>
      </c>
      <c r="N6" s="6" t="s">
        <v>12</v>
      </c>
      <c r="O6" s="6" t="s">
        <v>13</v>
      </c>
      <c r="P6" s="6" t="s">
        <v>14</v>
      </c>
      <c r="Q6" s="6" t="s">
        <v>15</v>
      </c>
      <c r="R6" s="6" t="s">
        <v>16</v>
      </c>
      <c r="S6" s="6" t="s">
        <v>17</v>
      </c>
      <c r="T6" s="6" t="s">
        <v>18</v>
      </c>
      <c r="U6" s="6" t="s">
        <v>19</v>
      </c>
      <c r="V6" s="6" t="s">
        <v>20</v>
      </c>
      <c r="W6" s="6" t="s">
        <v>21</v>
      </c>
    </row>
    <row r="7" ht="14.25" customHeight="1"/>
    <row r="8" ht="14.25" customHeight="1">
      <c r="B8" s="1" t="s">
        <v>60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ht="14.25" customHeight="1">
      <c r="B9" s="1" t="s">
        <v>61</v>
      </c>
      <c r="G9" s="11">
        <v>0.0</v>
      </c>
      <c r="H9" s="11">
        <v>50000.0</v>
      </c>
      <c r="I9" s="11">
        <v>50000.0</v>
      </c>
      <c r="J9" s="11">
        <v>50000.0</v>
      </c>
      <c r="K9" s="11">
        <v>50000.0</v>
      </c>
      <c r="L9" s="11">
        <v>50000.0</v>
      </c>
      <c r="M9" s="11">
        <v>50000.0</v>
      </c>
      <c r="N9" s="11">
        <v>50000.0</v>
      </c>
      <c r="O9" s="11"/>
      <c r="P9" s="11"/>
      <c r="Q9" s="11"/>
      <c r="R9" s="11"/>
      <c r="S9" s="13">
        <f t="shared" ref="S9:S11" si="1">SUM(G9:R9)</f>
        <v>350000</v>
      </c>
      <c r="T9" s="11">
        <v>150000.0</v>
      </c>
      <c r="U9" s="11">
        <v>50000.0</v>
      </c>
      <c r="V9" s="11">
        <v>50000.0</v>
      </c>
      <c r="W9" s="11"/>
    </row>
    <row r="10" ht="14.25" customHeight="1">
      <c r="B10" s="1" t="s">
        <v>62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3">
        <f t="shared" si="1"/>
        <v>0</v>
      </c>
      <c r="T10" s="11"/>
      <c r="U10" s="11">
        <v>150000.0</v>
      </c>
      <c r="V10" s="11">
        <v>50000.0</v>
      </c>
      <c r="W10" s="11"/>
    </row>
    <row r="11" ht="14.25" customHeight="1">
      <c r="B11" s="1" t="s">
        <v>63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8">
        <f t="shared" si="1"/>
        <v>0</v>
      </c>
      <c r="T11" s="15"/>
      <c r="U11" s="15"/>
      <c r="V11" s="15"/>
      <c r="W11" s="15">
        <v>350000.0</v>
      </c>
    </row>
    <row r="12" ht="14.25" customHeight="1"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ht="14.25" customHeight="1">
      <c r="B13" s="1" t="s">
        <v>64</v>
      </c>
      <c r="G13" s="13">
        <f t="shared" ref="G13:W13" si="2">SUM(G9:G11)</f>
        <v>0</v>
      </c>
      <c r="H13" s="13">
        <f t="shared" si="2"/>
        <v>50000</v>
      </c>
      <c r="I13" s="13">
        <f t="shared" si="2"/>
        <v>50000</v>
      </c>
      <c r="J13" s="13">
        <f t="shared" si="2"/>
        <v>50000</v>
      </c>
      <c r="K13" s="13">
        <f t="shared" si="2"/>
        <v>50000</v>
      </c>
      <c r="L13" s="13">
        <f t="shared" si="2"/>
        <v>50000</v>
      </c>
      <c r="M13" s="13">
        <f t="shared" si="2"/>
        <v>50000</v>
      </c>
      <c r="N13" s="13">
        <f t="shared" si="2"/>
        <v>50000</v>
      </c>
      <c r="O13" s="13">
        <f t="shared" si="2"/>
        <v>0</v>
      </c>
      <c r="P13" s="13">
        <f t="shared" si="2"/>
        <v>0</v>
      </c>
      <c r="Q13" s="13">
        <f t="shared" si="2"/>
        <v>0</v>
      </c>
      <c r="R13" s="13">
        <f t="shared" si="2"/>
        <v>0</v>
      </c>
      <c r="S13" s="13">
        <f t="shared" si="2"/>
        <v>350000</v>
      </c>
      <c r="T13" s="13">
        <f t="shared" si="2"/>
        <v>150000</v>
      </c>
      <c r="U13" s="13">
        <f t="shared" si="2"/>
        <v>200000</v>
      </c>
      <c r="V13" s="13">
        <f t="shared" si="2"/>
        <v>100000</v>
      </c>
      <c r="W13" s="13">
        <f t="shared" si="2"/>
        <v>350000</v>
      </c>
    </row>
    <row r="14" ht="14.25" customHeight="1"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ht="14.25" customHeight="1">
      <c r="B15" s="1" t="s">
        <v>65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ht="14.25" customHeight="1"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ht="14.25" customHeight="1"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ht="14.25" customHeight="1">
      <c r="B18" s="1" t="s">
        <v>66</v>
      </c>
      <c r="G18" s="11">
        <v>0.0</v>
      </c>
      <c r="H18" s="11">
        <v>0.0</v>
      </c>
      <c r="I18" s="11">
        <v>2500.0</v>
      </c>
      <c r="J18" s="11">
        <v>4500.0</v>
      </c>
      <c r="K18" s="11">
        <v>8500.0</v>
      </c>
      <c r="L18" s="11">
        <v>8500.0</v>
      </c>
      <c r="M18" s="11">
        <v>8500.0</v>
      </c>
      <c r="N18" s="11">
        <v>8500.0</v>
      </c>
      <c r="O18" s="11">
        <v>8500.0</v>
      </c>
      <c r="P18" s="11">
        <v>8500.0</v>
      </c>
      <c r="Q18" s="11">
        <v>8500.0</v>
      </c>
      <c r="R18" s="11">
        <v>8500.0</v>
      </c>
      <c r="S18" s="13">
        <f>SUM(G18:R18)</f>
        <v>75000</v>
      </c>
      <c r="T18" s="11">
        <v>75000.0</v>
      </c>
      <c r="U18" s="11">
        <v>100000.0</v>
      </c>
      <c r="V18" s="11">
        <v>100000.0</v>
      </c>
      <c r="W18" s="11">
        <v>150000.0</v>
      </c>
    </row>
    <row r="19" ht="14.25" customHeight="1"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ht="14.25" customHeight="1"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ht="14.25" customHeight="1">
      <c r="B21" s="9" t="s">
        <v>67</v>
      </c>
      <c r="G21" s="11">
        <v>845.0</v>
      </c>
      <c r="H21" s="11">
        <v>845.0</v>
      </c>
      <c r="I21" s="11">
        <v>845.0</v>
      </c>
      <c r="J21" s="11">
        <v>845.0</v>
      </c>
      <c r="K21" s="11">
        <v>845.0</v>
      </c>
      <c r="L21" s="11">
        <v>845.0</v>
      </c>
      <c r="M21" s="11">
        <v>845.0</v>
      </c>
      <c r="N21" s="11">
        <v>845.0</v>
      </c>
      <c r="O21" s="11">
        <v>845.0</v>
      </c>
      <c r="P21" s="11">
        <v>845.0</v>
      </c>
      <c r="Q21" s="11">
        <v>845.0</v>
      </c>
      <c r="R21" s="11">
        <v>845.0</v>
      </c>
      <c r="S21" s="13">
        <f>SUM(G21:R21)</f>
        <v>10140</v>
      </c>
      <c r="T21" s="11">
        <v>10140.0</v>
      </c>
      <c r="U21" s="11">
        <v>10140.0</v>
      </c>
      <c r="V21" s="11">
        <v>10140.0</v>
      </c>
      <c r="W21" s="11">
        <v>10140.0</v>
      </c>
    </row>
    <row r="22" ht="14.25" customHeight="1"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ht="14.25" customHeight="1"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ht="14.25" customHeight="1">
      <c r="B24" s="1" t="s">
        <v>68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ht="14.25" customHeight="1">
      <c r="B25" s="1" t="s">
        <v>69</v>
      </c>
      <c r="G25" s="11">
        <v>50.0</v>
      </c>
      <c r="H25" s="11">
        <v>50.0</v>
      </c>
      <c r="I25" s="11">
        <v>50.0</v>
      </c>
      <c r="J25" s="11">
        <v>50.0</v>
      </c>
      <c r="K25" s="11">
        <v>50.0</v>
      </c>
      <c r="L25" s="11">
        <v>50.0</v>
      </c>
      <c r="M25" s="11">
        <v>50.0</v>
      </c>
      <c r="N25" s="11">
        <v>50.0</v>
      </c>
      <c r="O25" s="11">
        <v>50.0</v>
      </c>
      <c r="P25" s="11">
        <v>50.0</v>
      </c>
      <c r="Q25" s="11">
        <v>50.0</v>
      </c>
      <c r="R25" s="11">
        <v>50.0</v>
      </c>
      <c r="S25" s="13">
        <f t="shared" ref="S25:S28" si="3">SUM(G25:R25)</f>
        <v>600</v>
      </c>
      <c r="T25" s="11">
        <v>600.0</v>
      </c>
      <c r="U25" s="11">
        <v>600.0</v>
      </c>
      <c r="V25" s="11">
        <v>600.0</v>
      </c>
      <c r="W25" s="11">
        <v>600.0</v>
      </c>
    </row>
    <row r="26" ht="14.25" customHeight="1">
      <c r="B26" s="1" t="s">
        <v>70</v>
      </c>
      <c r="G26" s="11"/>
      <c r="H26" s="11"/>
      <c r="I26" s="11"/>
      <c r="J26" s="11"/>
      <c r="K26" s="11"/>
      <c r="L26" s="11"/>
      <c r="M26" s="11"/>
      <c r="N26" s="11"/>
      <c r="O26" s="11">
        <v>1000.0</v>
      </c>
      <c r="P26" s="11">
        <v>1000.0</v>
      </c>
      <c r="Q26" s="11">
        <v>1000.0</v>
      </c>
      <c r="R26" s="11">
        <v>1000.0</v>
      </c>
      <c r="S26" s="13">
        <f t="shared" si="3"/>
        <v>4000</v>
      </c>
      <c r="T26" s="11">
        <v>10000.0</v>
      </c>
      <c r="U26" s="11">
        <v>10000.0</v>
      </c>
      <c r="V26" s="11">
        <v>25000.0</v>
      </c>
      <c r="W26" s="11">
        <v>25000.0</v>
      </c>
    </row>
    <row r="27" ht="14.25" customHeight="1">
      <c r="B27" s="1" t="s">
        <v>71</v>
      </c>
      <c r="G27" s="11">
        <v>15000.0</v>
      </c>
      <c r="H27" s="11">
        <v>3000.0</v>
      </c>
      <c r="I27" s="11">
        <v>0.0</v>
      </c>
      <c r="J27" s="11">
        <v>0.0</v>
      </c>
      <c r="K27" s="11">
        <v>0.0</v>
      </c>
      <c r="L27" s="11"/>
      <c r="M27" s="11"/>
      <c r="N27" s="11"/>
      <c r="O27" s="11"/>
      <c r="P27" s="11"/>
      <c r="Q27" s="11"/>
      <c r="R27" s="11"/>
      <c r="S27" s="13">
        <f t="shared" si="3"/>
        <v>18000</v>
      </c>
      <c r="T27" s="11"/>
      <c r="U27" s="11"/>
      <c r="V27" s="11"/>
      <c r="W27" s="11"/>
    </row>
    <row r="28" ht="14.25" customHeight="1"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8">
        <f t="shared" si="3"/>
        <v>0</v>
      </c>
      <c r="T28" s="15"/>
      <c r="U28" s="15"/>
      <c r="V28" s="15"/>
      <c r="W28" s="15"/>
    </row>
    <row r="29" ht="14.25" customHeight="1"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ht="14.25" customHeight="1">
      <c r="B30" s="1" t="s">
        <v>72</v>
      </c>
      <c r="G30" s="13">
        <f t="shared" ref="G30:R30" si="4">SUM(G25:G28)</f>
        <v>15050</v>
      </c>
      <c r="H30" s="13">
        <f t="shared" si="4"/>
        <v>3050</v>
      </c>
      <c r="I30" s="13">
        <f t="shared" si="4"/>
        <v>50</v>
      </c>
      <c r="J30" s="13">
        <f t="shared" si="4"/>
        <v>50</v>
      </c>
      <c r="K30" s="13">
        <f t="shared" si="4"/>
        <v>50</v>
      </c>
      <c r="L30" s="13">
        <f t="shared" si="4"/>
        <v>50</v>
      </c>
      <c r="M30" s="13">
        <f t="shared" si="4"/>
        <v>50</v>
      </c>
      <c r="N30" s="13">
        <f t="shared" si="4"/>
        <v>50</v>
      </c>
      <c r="O30" s="13">
        <f t="shared" si="4"/>
        <v>1050</v>
      </c>
      <c r="P30" s="13">
        <f t="shared" si="4"/>
        <v>1050</v>
      </c>
      <c r="Q30" s="13">
        <f t="shared" si="4"/>
        <v>1050</v>
      </c>
      <c r="R30" s="13">
        <f t="shared" si="4"/>
        <v>1050</v>
      </c>
      <c r="S30" s="13">
        <f>SUM(G30:R30)</f>
        <v>22600</v>
      </c>
      <c r="T30" s="13">
        <f t="shared" ref="T30:W30" si="5">SUM(T25:T28)</f>
        <v>10600</v>
      </c>
      <c r="U30" s="13">
        <f t="shared" si="5"/>
        <v>10600</v>
      </c>
      <c r="V30" s="13">
        <f t="shared" si="5"/>
        <v>25600</v>
      </c>
      <c r="W30" s="13">
        <f t="shared" si="5"/>
        <v>25600</v>
      </c>
    </row>
    <row r="31" ht="14.25" customHeight="1"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ht="14.25" customHeight="1"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ht="14.25" customHeight="1"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ht="14.25" customHeight="1"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ht="14.25" customHeight="1"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ht="14.25" customHeight="1"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G5:S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40.57"/>
    <col customWidth="1" min="3" max="3" width="8.71"/>
    <col customWidth="1" min="4" max="4" width="1.43"/>
    <col customWidth="1" min="5" max="6" width="8.71"/>
    <col customWidth="1" min="7" max="7" width="10.14"/>
    <col customWidth="1" min="8" max="20" width="8.71"/>
    <col customWidth="1" min="21" max="21" width="10.43"/>
    <col customWidth="1" min="22" max="22" width="12.57"/>
    <col customWidth="1" min="23" max="23" width="10.71"/>
    <col customWidth="1" min="24" max="26" width="8.71"/>
  </cols>
  <sheetData>
    <row r="1" ht="14.25" customHeight="1"/>
    <row r="2" ht="14.25" customHeight="1">
      <c r="A2" s="1" t="s">
        <v>73</v>
      </c>
    </row>
    <row r="3" ht="14.25" customHeight="1"/>
    <row r="4" ht="14.25" customHeight="1">
      <c r="G4" s="8" t="s">
        <v>74</v>
      </c>
    </row>
    <row r="5" ht="14.25" customHeight="1">
      <c r="A5" s="4" t="s">
        <v>2</v>
      </c>
      <c r="B5" s="4"/>
      <c r="G5" s="2" t="s">
        <v>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ht="14.25" customHeight="1">
      <c r="E6" s="7"/>
      <c r="G6" s="6" t="s">
        <v>5</v>
      </c>
      <c r="H6" s="6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11</v>
      </c>
      <c r="N6" s="6" t="s">
        <v>12</v>
      </c>
      <c r="O6" s="6" t="s">
        <v>13</v>
      </c>
      <c r="P6" s="6" t="s">
        <v>14</v>
      </c>
      <c r="Q6" s="6" t="s">
        <v>15</v>
      </c>
      <c r="R6" s="6" t="s">
        <v>16</v>
      </c>
      <c r="S6" s="6" t="s">
        <v>75</v>
      </c>
      <c r="T6" s="6" t="s">
        <v>18</v>
      </c>
      <c r="U6" s="6" t="s">
        <v>19</v>
      </c>
      <c r="V6" s="6" t="s">
        <v>20</v>
      </c>
      <c r="W6" s="6" t="s">
        <v>21</v>
      </c>
    </row>
    <row r="7" ht="14.25" customHeight="1"/>
    <row r="8" ht="14.25" customHeight="1">
      <c r="B8" s="1" t="s">
        <v>76</v>
      </c>
    </row>
    <row r="9" ht="14.25" customHeight="1">
      <c r="B9" s="1" t="s">
        <v>77</v>
      </c>
      <c r="G9" s="30">
        <v>0.4</v>
      </c>
      <c r="H9" s="30">
        <v>0.4</v>
      </c>
      <c r="I9" s="30">
        <v>0.4</v>
      </c>
      <c r="J9" s="30">
        <v>0.37</v>
      </c>
      <c r="K9" s="30">
        <v>0.37</v>
      </c>
      <c r="L9" s="30">
        <v>0.37</v>
      </c>
      <c r="M9" s="30">
        <v>0.37</v>
      </c>
      <c r="N9" s="30">
        <v>0.37</v>
      </c>
      <c r="O9" s="30">
        <v>0.37</v>
      </c>
      <c r="P9" s="30">
        <v>0.37</v>
      </c>
      <c r="Q9" s="30">
        <v>0.37</v>
      </c>
      <c r="R9" s="30">
        <v>0.37</v>
      </c>
      <c r="S9" s="31">
        <f t="shared" ref="S9:S13" si="1">R9</f>
        <v>0.37</v>
      </c>
      <c r="T9" s="30">
        <v>0.37</v>
      </c>
      <c r="U9" s="30">
        <v>0.37</v>
      </c>
      <c r="V9" s="30">
        <v>0.37</v>
      </c>
      <c r="W9" s="32">
        <v>0.39</v>
      </c>
    </row>
    <row r="10" ht="14.25" customHeight="1">
      <c r="B10" s="1" t="s">
        <v>78</v>
      </c>
      <c r="G10" s="30">
        <v>0.3</v>
      </c>
      <c r="H10" s="30">
        <v>0.3</v>
      </c>
      <c r="I10" s="30">
        <v>0.3</v>
      </c>
      <c r="J10" s="30">
        <v>0.285</v>
      </c>
      <c r="K10" s="30">
        <v>0.285</v>
      </c>
      <c r="L10" s="30">
        <v>0.285</v>
      </c>
      <c r="M10" s="30">
        <v>0.285</v>
      </c>
      <c r="N10" s="30">
        <v>0.285</v>
      </c>
      <c r="O10" s="30">
        <v>0.285</v>
      </c>
      <c r="P10" s="30">
        <v>0.285</v>
      </c>
      <c r="Q10" s="30">
        <v>0.285</v>
      </c>
      <c r="R10" s="30">
        <v>0.285</v>
      </c>
      <c r="S10" s="31">
        <f t="shared" si="1"/>
        <v>0.285</v>
      </c>
      <c r="T10" s="30">
        <v>0.285</v>
      </c>
      <c r="U10" s="30">
        <v>0.285</v>
      </c>
      <c r="V10" s="30">
        <v>0.285</v>
      </c>
      <c r="W10" s="32">
        <v>0.29</v>
      </c>
    </row>
    <row r="11" ht="14.25" customHeight="1">
      <c r="B11" s="1" t="s">
        <v>79</v>
      </c>
      <c r="G11" s="30">
        <v>0.3</v>
      </c>
      <c r="H11" s="30">
        <v>0.3</v>
      </c>
      <c r="I11" s="30">
        <v>0.3</v>
      </c>
      <c r="J11" s="30">
        <v>0.285</v>
      </c>
      <c r="K11" s="30">
        <v>0.285</v>
      </c>
      <c r="L11" s="30">
        <v>0.285</v>
      </c>
      <c r="M11" s="30">
        <v>0.285</v>
      </c>
      <c r="N11" s="30">
        <v>0.285</v>
      </c>
      <c r="O11" s="30">
        <v>0.285</v>
      </c>
      <c r="P11" s="30">
        <v>0.285</v>
      </c>
      <c r="Q11" s="30">
        <v>0.285</v>
      </c>
      <c r="R11" s="30">
        <v>0.285</v>
      </c>
      <c r="S11" s="31">
        <f t="shared" si="1"/>
        <v>0.285</v>
      </c>
      <c r="T11" s="30">
        <v>0.285</v>
      </c>
      <c r="U11" s="30">
        <v>0.285</v>
      </c>
      <c r="V11" s="30">
        <v>0.285</v>
      </c>
      <c r="W11" s="32">
        <v>0.29</v>
      </c>
    </row>
    <row r="12" ht="14.25" customHeight="1">
      <c r="B12" s="1" t="s">
        <v>80</v>
      </c>
      <c r="G12" s="30">
        <v>0.0</v>
      </c>
      <c r="H12" s="30">
        <v>0.0</v>
      </c>
      <c r="I12" s="30">
        <v>0.0</v>
      </c>
      <c r="J12" s="30">
        <v>0.06</v>
      </c>
      <c r="K12" s="30">
        <v>0.06</v>
      </c>
      <c r="L12" s="30">
        <v>0.06</v>
      </c>
      <c r="M12" s="30">
        <v>0.06</v>
      </c>
      <c r="N12" s="30">
        <v>0.06</v>
      </c>
      <c r="O12" s="30">
        <v>0.06</v>
      </c>
      <c r="P12" s="30">
        <v>0.06</v>
      </c>
      <c r="Q12" s="30">
        <v>0.06</v>
      </c>
      <c r="R12" s="30">
        <v>0.06</v>
      </c>
      <c r="S12" s="31">
        <f t="shared" si="1"/>
        <v>0.06</v>
      </c>
      <c r="T12" s="30">
        <v>0.06</v>
      </c>
      <c r="U12" s="30">
        <v>0.06</v>
      </c>
      <c r="V12" s="30">
        <v>0.06</v>
      </c>
      <c r="W12" s="32">
        <v>0.03</v>
      </c>
    </row>
    <row r="13" ht="14.25" customHeight="1">
      <c r="B13" s="1" t="s">
        <v>81</v>
      </c>
      <c r="G13" s="33">
        <v>0.0</v>
      </c>
      <c r="H13" s="33">
        <v>0.0</v>
      </c>
      <c r="I13" s="33">
        <v>0.0</v>
      </c>
      <c r="J13" s="33">
        <v>0.0</v>
      </c>
      <c r="K13" s="33">
        <v>0.0</v>
      </c>
      <c r="L13" s="33">
        <v>0.0</v>
      </c>
      <c r="M13" s="33">
        <v>0.0</v>
      </c>
      <c r="N13" s="33">
        <v>0.0</v>
      </c>
      <c r="O13" s="33">
        <v>0.0</v>
      </c>
      <c r="P13" s="33">
        <v>0.0</v>
      </c>
      <c r="Q13" s="33">
        <v>0.0</v>
      </c>
      <c r="R13" s="33">
        <v>0.0</v>
      </c>
      <c r="S13" s="34">
        <f t="shared" si="1"/>
        <v>0</v>
      </c>
      <c r="T13" s="33">
        <v>0.0</v>
      </c>
      <c r="U13" s="33">
        <v>0.0</v>
      </c>
      <c r="V13" s="33">
        <v>0.0</v>
      </c>
      <c r="W13" s="33">
        <v>0.0</v>
      </c>
    </row>
    <row r="14" ht="14.25" customHeight="1"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</row>
    <row r="15" ht="14.25" customHeight="1">
      <c r="B15" s="1" t="s">
        <v>82</v>
      </c>
      <c r="G15" s="31">
        <f t="shared" ref="G15:W15" si="2">SUM(G9:G13)</f>
        <v>1</v>
      </c>
      <c r="H15" s="31">
        <f t="shared" si="2"/>
        <v>1</v>
      </c>
      <c r="I15" s="31">
        <f t="shared" si="2"/>
        <v>1</v>
      </c>
      <c r="J15" s="31">
        <f t="shared" si="2"/>
        <v>1</v>
      </c>
      <c r="K15" s="31">
        <f t="shared" si="2"/>
        <v>1</v>
      </c>
      <c r="L15" s="31">
        <f t="shared" si="2"/>
        <v>1</v>
      </c>
      <c r="M15" s="31">
        <f t="shared" si="2"/>
        <v>1</v>
      </c>
      <c r="N15" s="31">
        <f t="shared" si="2"/>
        <v>1</v>
      </c>
      <c r="O15" s="31">
        <f t="shared" si="2"/>
        <v>1</v>
      </c>
      <c r="P15" s="31">
        <f t="shared" si="2"/>
        <v>1</v>
      </c>
      <c r="Q15" s="31">
        <f t="shared" si="2"/>
        <v>1</v>
      </c>
      <c r="R15" s="31">
        <f t="shared" si="2"/>
        <v>1</v>
      </c>
      <c r="S15" s="31">
        <f t="shared" si="2"/>
        <v>1</v>
      </c>
      <c r="T15" s="31">
        <f t="shared" si="2"/>
        <v>1</v>
      </c>
      <c r="U15" s="31">
        <f t="shared" si="2"/>
        <v>1</v>
      </c>
      <c r="V15" s="31">
        <f t="shared" si="2"/>
        <v>1</v>
      </c>
      <c r="W15" s="31">
        <f t="shared" si="2"/>
        <v>1</v>
      </c>
    </row>
    <row r="16" ht="14.25" customHeight="1"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</row>
    <row r="17" ht="14.25" customHeight="1"/>
    <row r="18" ht="14.25" customHeight="1">
      <c r="B18" s="1" t="s">
        <v>83</v>
      </c>
      <c r="C18" s="29"/>
    </row>
    <row r="19" ht="14.25" customHeight="1">
      <c r="B19" s="1" t="s">
        <v>84</v>
      </c>
      <c r="C19" s="35"/>
    </row>
    <row r="20" ht="14.25" customHeight="1"/>
    <row r="21" ht="14.25" customHeight="1">
      <c r="B21" s="1" t="str">
        <f>'Assumptions - Non-Personnel Exp'!B8</f>
        <v>Technology Engineering &amp; Development - Capitalized</v>
      </c>
    </row>
    <row r="22" ht="14.25" customHeight="1">
      <c r="B22" s="1" t="s">
        <v>85</v>
      </c>
      <c r="G22" s="13">
        <f>'Assumptions - Non-Personnel Exp'!G13</f>
        <v>0</v>
      </c>
      <c r="H22" s="13">
        <f>'Assumptions - Non-Personnel Exp'!H13</f>
        <v>50000</v>
      </c>
      <c r="I22" s="13">
        <f>'Assumptions - Non-Personnel Exp'!I13</f>
        <v>50000</v>
      </c>
      <c r="J22" s="13">
        <f>'Assumptions - Non-Personnel Exp'!J13</f>
        <v>50000</v>
      </c>
      <c r="K22" s="13">
        <f>'Assumptions - Non-Personnel Exp'!K13</f>
        <v>50000</v>
      </c>
      <c r="L22" s="13">
        <f>'Assumptions - Non-Personnel Exp'!L13</f>
        <v>50000</v>
      </c>
      <c r="M22" s="13">
        <f>'Assumptions - Non-Personnel Exp'!M13</f>
        <v>50000</v>
      </c>
      <c r="N22" s="13">
        <f>'Assumptions - Non-Personnel Exp'!N13</f>
        <v>50000</v>
      </c>
      <c r="O22" s="13">
        <f>'Assumptions - Non-Personnel Exp'!O13</f>
        <v>0</v>
      </c>
      <c r="P22" s="13">
        <f>'Assumptions - Non-Personnel Exp'!P13</f>
        <v>0</v>
      </c>
      <c r="Q22" s="13">
        <f>'Assumptions - Non-Personnel Exp'!Q13</f>
        <v>0</v>
      </c>
      <c r="R22" s="13">
        <f>'Assumptions - Non-Personnel Exp'!R13</f>
        <v>0</v>
      </c>
      <c r="S22" s="13"/>
      <c r="T22" s="13">
        <f>'Assumptions - Non-Personnel Exp'!T13</f>
        <v>150000</v>
      </c>
      <c r="U22" s="13">
        <f>'Assumptions - Non-Personnel Exp'!U13</f>
        <v>200000</v>
      </c>
      <c r="V22" s="13">
        <f>'Assumptions - Non-Personnel Exp'!V13</f>
        <v>100000</v>
      </c>
      <c r="W22" s="13">
        <f>'Assumptions - Non-Personnel Exp'!W13</f>
        <v>350000</v>
      </c>
    </row>
    <row r="23" ht="14.25" customHeight="1">
      <c r="B23" s="1" t="s">
        <v>86</v>
      </c>
      <c r="G23" s="13">
        <f>G22</f>
        <v>0</v>
      </c>
      <c r="H23" s="13">
        <f t="shared" ref="H23:R23" si="3">G23+H22</f>
        <v>50000</v>
      </c>
      <c r="I23" s="13">
        <f t="shared" si="3"/>
        <v>100000</v>
      </c>
      <c r="J23" s="13">
        <f t="shared" si="3"/>
        <v>150000</v>
      </c>
      <c r="K23" s="13">
        <f t="shared" si="3"/>
        <v>200000</v>
      </c>
      <c r="L23" s="13">
        <f t="shared" si="3"/>
        <v>250000</v>
      </c>
      <c r="M23" s="13">
        <f t="shared" si="3"/>
        <v>300000</v>
      </c>
      <c r="N23" s="13">
        <f t="shared" si="3"/>
        <v>350000</v>
      </c>
      <c r="O23" s="13">
        <f t="shared" si="3"/>
        <v>350000</v>
      </c>
      <c r="P23" s="13">
        <f t="shared" si="3"/>
        <v>350000</v>
      </c>
      <c r="Q23" s="13">
        <f t="shared" si="3"/>
        <v>350000</v>
      </c>
      <c r="R23" s="13">
        <f t="shared" si="3"/>
        <v>350000</v>
      </c>
      <c r="S23" s="13">
        <f>R23</f>
        <v>350000</v>
      </c>
      <c r="T23" s="13">
        <f t="shared" ref="T23:W23" si="4">S23+T22</f>
        <v>500000</v>
      </c>
      <c r="U23" s="13">
        <f t="shared" si="4"/>
        <v>700000</v>
      </c>
      <c r="V23" s="13">
        <f t="shared" si="4"/>
        <v>800000</v>
      </c>
      <c r="W23" s="13">
        <f t="shared" si="4"/>
        <v>1150000</v>
      </c>
    </row>
    <row r="24" ht="14.25" customHeight="1"/>
    <row r="25" ht="14.25" customHeight="1">
      <c r="B25" s="1" t="s">
        <v>87</v>
      </c>
      <c r="C25" s="4">
        <v>5.0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ht="14.25" customHeight="1">
      <c r="B26" s="1" t="s">
        <v>88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ht="14.25" customHeight="1"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ht="14.25" customHeight="1">
      <c r="B28" s="1" t="s">
        <v>89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3" t="str">
        <f>R28</f>
        <v/>
      </c>
      <c r="T28" s="11"/>
      <c r="U28" s="11"/>
      <c r="V28" s="11"/>
      <c r="W28" s="11"/>
    </row>
    <row r="29" ht="14.25" customHeight="1">
      <c r="B29" s="1" t="s">
        <v>90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ht="14.25" customHeight="1">
      <c r="B30" s="1" t="s">
        <v>91</v>
      </c>
      <c r="C30" s="4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ht="14.25" customHeight="1">
      <c r="B31" s="1" t="s">
        <v>92</v>
      </c>
      <c r="C31" s="36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ht="14.25" customHeight="1">
      <c r="C32" s="36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ht="14.25" customHeight="1">
      <c r="B33" s="1" t="s">
        <v>93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ht="14.25" customHeight="1">
      <c r="B34" s="1" t="s">
        <v>94</v>
      </c>
      <c r="G34" s="37">
        <v>350000.0</v>
      </c>
      <c r="H34" s="11">
        <v>0.0</v>
      </c>
      <c r="I34" s="11">
        <v>0.0</v>
      </c>
      <c r="J34" s="11">
        <v>0.0</v>
      </c>
      <c r="K34" s="11">
        <v>0.0</v>
      </c>
      <c r="L34" s="11">
        <v>0.0</v>
      </c>
      <c r="M34" s="11">
        <v>0.0</v>
      </c>
      <c r="N34" s="11">
        <v>0.0</v>
      </c>
      <c r="O34" s="11">
        <v>0.0</v>
      </c>
      <c r="P34" s="11">
        <v>0.0</v>
      </c>
      <c r="Q34" s="11">
        <v>0.0</v>
      </c>
      <c r="R34" s="11">
        <v>0.0</v>
      </c>
      <c r="S34" s="12">
        <f>SUM(G34:R34)</f>
        <v>350000</v>
      </c>
      <c r="T34" s="11">
        <v>150000.0</v>
      </c>
      <c r="U34" s="11">
        <v>100000.0</v>
      </c>
      <c r="V34" s="11">
        <v>100000.0</v>
      </c>
      <c r="W34" s="11">
        <v>100000.0</v>
      </c>
    </row>
    <row r="35" ht="14.25" customHeight="1">
      <c r="B35" s="1" t="s">
        <v>95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ht="14.25" customHeight="1"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ht="14.25" customHeight="1"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G4:S4"/>
    <mergeCell ref="G5:S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1.86"/>
    <col customWidth="1" min="3" max="3" width="8.71"/>
    <col customWidth="1" min="4" max="4" width="2.0"/>
    <col customWidth="1" min="5" max="20" width="8.71"/>
    <col customWidth="1" min="21" max="21" width="10.14"/>
    <col customWidth="1" min="22" max="22" width="9.71"/>
    <col customWidth="1" min="23" max="23" width="10.71"/>
    <col customWidth="1" min="24" max="26" width="8.71"/>
  </cols>
  <sheetData>
    <row r="1" ht="14.25" customHeight="1"/>
    <row r="2" ht="14.25" customHeight="1">
      <c r="A2" s="1" t="s">
        <v>96</v>
      </c>
    </row>
    <row r="3" ht="14.25" customHeight="1"/>
    <row r="4" ht="14.25" customHeight="1">
      <c r="A4" s="4" t="s">
        <v>2</v>
      </c>
      <c r="B4" s="4"/>
      <c r="G4" s="2" t="s">
        <v>40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14.25" customHeight="1"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14</v>
      </c>
      <c r="Q5" s="6" t="s">
        <v>15</v>
      </c>
      <c r="R5" s="6" t="s">
        <v>16</v>
      </c>
      <c r="S5" s="6" t="s">
        <v>75</v>
      </c>
      <c r="T5" s="6" t="s">
        <v>18</v>
      </c>
      <c r="U5" s="6" t="s">
        <v>19</v>
      </c>
      <c r="V5" s="6" t="s">
        <v>20</v>
      </c>
      <c r="W5" s="6" t="s">
        <v>21</v>
      </c>
    </row>
    <row r="6" ht="14.25" customHeight="1"/>
    <row r="7" ht="14.25" customHeight="1"/>
    <row r="8" ht="14.25" customHeight="1">
      <c r="B8" s="1" t="s">
        <v>97</v>
      </c>
    </row>
    <row r="9" ht="14.25" customHeight="1"/>
    <row r="10" ht="14.25" customHeight="1">
      <c r="B10" s="1" t="s">
        <v>98</v>
      </c>
      <c r="G10" s="13">
        <f>'Cash Flow Statements'!G28</f>
        <v>310114</v>
      </c>
      <c r="H10" s="13">
        <f>'Cash Flow Statements'!H28</f>
        <v>232228</v>
      </c>
      <c r="I10" s="13">
        <f>'Cash Flow Statements'!I28</f>
        <v>154842</v>
      </c>
      <c r="J10" s="13">
        <f>'Cash Flow Statements'!J28</f>
        <v>75456</v>
      </c>
      <c r="K10" s="13">
        <f>'Cash Flow Statements'!K28</f>
        <v>-7930</v>
      </c>
      <c r="L10" s="13">
        <f>'Cash Flow Statements'!L28</f>
        <v>-91316</v>
      </c>
      <c r="M10" s="13">
        <f>'Cash Flow Statements'!M28</f>
        <v>-174702</v>
      </c>
      <c r="N10" s="13">
        <f>'Cash Flow Statements'!N28</f>
        <v>-252238</v>
      </c>
      <c r="O10" s="13">
        <f>'Cash Flow Statements'!O28</f>
        <v>-270774</v>
      </c>
      <c r="P10" s="13">
        <f>'Cash Flow Statements'!P28</f>
        <v>-263410</v>
      </c>
      <c r="Q10" s="13">
        <f>'Cash Flow Statements'!Q28</f>
        <v>-243796</v>
      </c>
      <c r="R10" s="13">
        <f>'Cash Flow Statements'!R28</f>
        <v>-190690</v>
      </c>
      <c r="S10" s="13">
        <f>'Cash Flow Statements'!S28</f>
        <v>-190690</v>
      </c>
      <c r="T10" s="13">
        <f>'Cash Flow Statements'!T28</f>
        <v>913070</v>
      </c>
      <c r="U10" s="13">
        <f>'Cash Flow Statements'!U28</f>
        <v>2435930</v>
      </c>
      <c r="V10" s="13">
        <f>'Cash Flow Statements'!V28</f>
        <v>4852690</v>
      </c>
      <c r="W10" s="13">
        <f>'Cash Flow Statements'!W28</f>
        <v>9131350</v>
      </c>
    </row>
    <row r="11" ht="14.25" customHeight="1"/>
    <row r="12" ht="14.25" customHeight="1">
      <c r="B12" s="1" t="s">
        <v>99</v>
      </c>
    </row>
    <row r="13" ht="14.25" customHeight="1"/>
    <row r="14" ht="14.25" customHeight="1">
      <c r="B14" s="1" t="s">
        <v>100</v>
      </c>
      <c r="G14" s="13">
        <f>'Assumpt.-Equity &amp; Bal Sheet '!G23</f>
        <v>0</v>
      </c>
      <c r="H14" s="13">
        <f>'Assumpt.-Equity &amp; Bal Sheet '!H23</f>
        <v>50000</v>
      </c>
      <c r="I14" s="13">
        <f>'Assumpt.-Equity &amp; Bal Sheet '!I23</f>
        <v>100000</v>
      </c>
      <c r="J14" s="13">
        <f>'Assumpt.-Equity &amp; Bal Sheet '!J23</f>
        <v>150000</v>
      </c>
      <c r="K14" s="13">
        <f>'Assumpt.-Equity &amp; Bal Sheet '!K23</f>
        <v>200000</v>
      </c>
      <c r="L14" s="13">
        <f>'Assumpt.-Equity &amp; Bal Sheet '!L23</f>
        <v>250000</v>
      </c>
      <c r="M14" s="13">
        <f>'Assumpt.-Equity &amp; Bal Sheet '!M23</f>
        <v>300000</v>
      </c>
      <c r="N14" s="13">
        <f>'Assumpt.-Equity &amp; Bal Sheet '!N23</f>
        <v>350000</v>
      </c>
      <c r="O14" s="13">
        <f>'Assumpt.-Equity &amp; Bal Sheet '!O23</f>
        <v>350000</v>
      </c>
      <c r="P14" s="13">
        <f>'Assumpt.-Equity &amp; Bal Sheet '!P23</f>
        <v>350000</v>
      </c>
      <c r="Q14" s="13">
        <f>'Assumpt.-Equity &amp; Bal Sheet '!Q23</f>
        <v>350000</v>
      </c>
      <c r="R14" s="13">
        <f>'Assumpt.-Equity &amp; Bal Sheet '!R23</f>
        <v>350000</v>
      </c>
      <c r="S14" s="13">
        <f>'Assumpt.-Equity &amp; Bal Sheet '!S23</f>
        <v>350000</v>
      </c>
      <c r="T14" s="13">
        <f>'Assumpt.-Equity &amp; Bal Sheet '!T23</f>
        <v>500000</v>
      </c>
      <c r="U14" s="13">
        <f>'Assumpt.-Equity &amp; Bal Sheet '!U23</f>
        <v>700000</v>
      </c>
      <c r="V14" s="13">
        <f>'Assumpt.-Equity &amp; Bal Sheet '!V23</f>
        <v>800000</v>
      </c>
      <c r="W14" s="13">
        <f>'Assumpt.-Equity &amp; Bal Sheet '!W23</f>
        <v>1150000</v>
      </c>
    </row>
    <row r="15" ht="14.25" customHeight="1">
      <c r="B15" s="1" t="s">
        <v>101</v>
      </c>
      <c r="G15" s="38">
        <f>-'Assumpt.-Equity &amp; Bal Sheet '!G23/'Assumpt.-Equity &amp; Bal Sheet '!$C$25/12</f>
        <v>0</v>
      </c>
      <c r="H15" s="38">
        <f>-('Assumpt.-Equity &amp; Bal Sheet '!H23/'Assumpt.-Equity &amp; Bal Sheet '!$C$25/12)+G15</f>
        <v>-833.3333333</v>
      </c>
      <c r="I15" s="38">
        <f>-('Assumpt.-Equity &amp; Bal Sheet '!I23/'Assumpt.-Equity &amp; Bal Sheet '!$C$25/12)+H15</f>
        <v>-2500</v>
      </c>
      <c r="J15" s="38">
        <f>-('Assumpt.-Equity &amp; Bal Sheet '!J23/'Assumpt.-Equity &amp; Bal Sheet '!$C$25/12)+I15</f>
        <v>-5000</v>
      </c>
      <c r="K15" s="38">
        <f>-('Assumpt.-Equity &amp; Bal Sheet '!K23/'Assumpt.-Equity &amp; Bal Sheet '!$C$25/12)+J15</f>
        <v>-8333.333333</v>
      </c>
      <c r="L15" s="38">
        <f>-('Assumpt.-Equity &amp; Bal Sheet '!L23/'Assumpt.-Equity &amp; Bal Sheet '!$C$25/12)+K15</f>
        <v>-12500</v>
      </c>
      <c r="M15" s="38">
        <f>-('Assumpt.-Equity &amp; Bal Sheet '!M23/'Assumpt.-Equity &amp; Bal Sheet '!$C$25/12)+L15</f>
        <v>-17500</v>
      </c>
      <c r="N15" s="38">
        <f>-('Assumpt.-Equity &amp; Bal Sheet '!N23/'Assumpt.-Equity &amp; Bal Sheet '!$C$25/12)+M15</f>
        <v>-23333.33333</v>
      </c>
      <c r="O15" s="38">
        <f>-('Assumpt.-Equity &amp; Bal Sheet '!O23/'Assumpt.-Equity &amp; Bal Sheet '!$C$25/12)+N15</f>
        <v>-29166.66667</v>
      </c>
      <c r="P15" s="38">
        <f>-('Assumpt.-Equity &amp; Bal Sheet '!P23/'Assumpt.-Equity &amp; Bal Sheet '!$C$25/12)+O15</f>
        <v>-35000</v>
      </c>
      <c r="Q15" s="38">
        <f>-('Assumpt.-Equity &amp; Bal Sheet '!Q23/'Assumpt.-Equity &amp; Bal Sheet '!$C$25/12)+P15</f>
        <v>-40833.33333</v>
      </c>
      <c r="R15" s="38">
        <f>-('Assumpt.-Equity &amp; Bal Sheet '!R23/'Assumpt.-Equity &amp; Bal Sheet '!$C$25/12)+Q15</f>
        <v>-46666.66667</v>
      </c>
      <c r="S15" s="38">
        <f>R15</f>
        <v>-46666.66667</v>
      </c>
      <c r="T15" s="38">
        <f>-('Assumpt.-Equity &amp; Bal Sheet '!S23/'Assumpt.-Equity &amp; Bal Sheet '!$C$25-(('Assumpt.-Equity &amp; Bal Sheet '!T22/'Assumpt.-Equity &amp; Bal Sheet '!$C$25)*0.5))+S15</f>
        <v>-101666.6667</v>
      </c>
      <c r="U15" s="38">
        <f>-('Assumpt.-Equity &amp; Bal Sheet '!T23/'Assumpt.-Equity &amp; Bal Sheet '!$C$25-(('Assumpt.-Equity &amp; Bal Sheet '!U22/'Assumpt.-Equity &amp; Bal Sheet '!$C$25)*0.5))+T15</f>
        <v>-181666.6667</v>
      </c>
      <c r="V15" s="38">
        <f>-('Assumpt.-Equity &amp; Bal Sheet '!U23/'Assumpt.-Equity &amp; Bal Sheet '!$C$25-(('Assumpt.-Equity &amp; Bal Sheet '!V22/'Assumpt.-Equity &amp; Bal Sheet '!$C$25)*0.5))+U15</f>
        <v>-311666.6667</v>
      </c>
      <c r="W15" s="38">
        <f>-('Assumpt.-Equity &amp; Bal Sheet '!V23/'Assumpt.-Equity &amp; Bal Sheet '!$C$25-(('Assumpt.-Equity &amp; Bal Sheet '!W22/'Assumpt.-Equity &amp; Bal Sheet '!$C$25)*0.5))+V15</f>
        <v>-436666.6667</v>
      </c>
    </row>
    <row r="16" ht="14.25" customHeight="1">
      <c r="B16" s="1" t="s">
        <v>102</v>
      </c>
      <c r="G16" s="13">
        <f t="shared" ref="G16:W16" si="1">G14+G15</f>
        <v>0</v>
      </c>
      <c r="H16" s="13">
        <f t="shared" si="1"/>
        <v>49166.66667</v>
      </c>
      <c r="I16" s="13">
        <f t="shared" si="1"/>
        <v>97500</v>
      </c>
      <c r="J16" s="13">
        <f t="shared" si="1"/>
        <v>145000</v>
      </c>
      <c r="K16" s="13">
        <f t="shared" si="1"/>
        <v>191666.6667</v>
      </c>
      <c r="L16" s="13">
        <f t="shared" si="1"/>
        <v>237500</v>
      </c>
      <c r="M16" s="13">
        <f t="shared" si="1"/>
        <v>282500</v>
      </c>
      <c r="N16" s="13">
        <f t="shared" si="1"/>
        <v>326666.6667</v>
      </c>
      <c r="O16" s="13">
        <f t="shared" si="1"/>
        <v>320833.3333</v>
      </c>
      <c r="P16" s="13">
        <f t="shared" si="1"/>
        <v>315000</v>
      </c>
      <c r="Q16" s="13">
        <f t="shared" si="1"/>
        <v>309166.6667</v>
      </c>
      <c r="R16" s="13">
        <f t="shared" si="1"/>
        <v>303333.3333</v>
      </c>
      <c r="S16" s="13">
        <f t="shared" si="1"/>
        <v>303333.3333</v>
      </c>
      <c r="T16" s="13">
        <f t="shared" si="1"/>
        <v>398333.3333</v>
      </c>
      <c r="U16" s="13">
        <f t="shared" si="1"/>
        <v>518333.3333</v>
      </c>
      <c r="V16" s="13">
        <f t="shared" si="1"/>
        <v>488333.3333</v>
      </c>
      <c r="W16" s="13">
        <f t="shared" si="1"/>
        <v>713333.3333</v>
      </c>
    </row>
    <row r="17" ht="14.25" customHeight="1"/>
    <row r="18" ht="14.25" customHeight="1">
      <c r="B18" s="1" t="s">
        <v>103</v>
      </c>
      <c r="G18" s="38">
        <f t="shared" ref="G18:W18" si="2">G16+G12+G10</f>
        <v>310114</v>
      </c>
      <c r="H18" s="38">
        <f t="shared" si="2"/>
        <v>281394.6667</v>
      </c>
      <c r="I18" s="38">
        <f t="shared" si="2"/>
        <v>252342</v>
      </c>
      <c r="J18" s="38">
        <f t="shared" si="2"/>
        <v>220456</v>
      </c>
      <c r="K18" s="38">
        <f t="shared" si="2"/>
        <v>183736.6667</v>
      </c>
      <c r="L18" s="38">
        <f t="shared" si="2"/>
        <v>146184</v>
      </c>
      <c r="M18" s="38">
        <f t="shared" si="2"/>
        <v>107798</v>
      </c>
      <c r="N18" s="38">
        <f t="shared" si="2"/>
        <v>74428.66667</v>
      </c>
      <c r="O18" s="38">
        <f t="shared" si="2"/>
        <v>50059.33333</v>
      </c>
      <c r="P18" s="38">
        <f t="shared" si="2"/>
        <v>51590</v>
      </c>
      <c r="Q18" s="38">
        <f t="shared" si="2"/>
        <v>65370.66667</v>
      </c>
      <c r="R18" s="38">
        <f t="shared" si="2"/>
        <v>112643.3333</v>
      </c>
      <c r="S18" s="38">
        <f t="shared" si="2"/>
        <v>112643.3333</v>
      </c>
      <c r="T18" s="38">
        <f t="shared" si="2"/>
        <v>1311403.333</v>
      </c>
      <c r="U18" s="38">
        <f t="shared" si="2"/>
        <v>2954263.333</v>
      </c>
      <c r="V18" s="38">
        <f t="shared" si="2"/>
        <v>5341023.333</v>
      </c>
      <c r="W18" s="38">
        <f t="shared" si="2"/>
        <v>9844683.333</v>
      </c>
    </row>
    <row r="19" ht="14.25" customHeight="1"/>
    <row r="20" ht="14.25" customHeight="1"/>
    <row r="21" ht="14.25" customHeight="1">
      <c r="B21" s="1" t="s">
        <v>104</v>
      </c>
    </row>
    <row r="22" ht="14.25" customHeight="1"/>
    <row r="23" ht="14.25" customHeight="1">
      <c r="B23" s="1" t="s">
        <v>105</v>
      </c>
    </row>
    <row r="24" ht="14.25" customHeight="1">
      <c r="B24" s="1" t="s">
        <v>106</v>
      </c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</row>
    <row r="25" ht="14.25" customHeight="1"/>
    <row r="26" ht="14.25" customHeight="1">
      <c r="B26" s="1" t="s">
        <v>107</v>
      </c>
      <c r="G26" s="1">
        <f t="shared" ref="G26:W26" si="3">G23+G24</f>
        <v>0</v>
      </c>
      <c r="H26" s="1">
        <f t="shared" si="3"/>
        <v>0</v>
      </c>
      <c r="I26" s="1">
        <f t="shared" si="3"/>
        <v>0</v>
      </c>
      <c r="J26" s="1">
        <f t="shared" si="3"/>
        <v>0</v>
      </c>
      <c r="K26" s="1">
        <f t="shared" si="3"/>
        <v>0</v>
      </c>
      <c r="L26" s="1">
        <f t="shared" si="3"/>
        <v>0</v>
      </c>
      <c r="M26" s="1">
        <f t="shared" si="3"/>
        <v>0</v>
      </c>
      <c r="N26" s="1">
        <f t="shared" si="3"/>
        <v>0</v>
      </c>
      <c r="O26" s="1">
        <f t="shared" si="3"/>
        <v>0</v>
      </c>
      <c r="P26" s="1">
        <f t="shared" si="3"/>
        <v>0</v>
      </c>
      <c r="Q26" s="1">
        <f t="shared" si="3"/>
        <v>0</v>
      </c>
      <c r="R26" s="1">
        <f t="shared" si="3"/>
        <v>0</v>
      </c>
      <c r="S26" s="1">
        <f t="shared" si="3"/>
        <v>0</v>
      </c>
      <c r="T26" s="1">
        <f t="shared" si="3"/>
        <v>0</v>
      </c>
      <c r="U26" s="1">
        <f t="shared" si="3"/>
        <v>0</v>
      </c>
      <c r="V26" s="1">
        <f t="shared" si="3"/>
        <v>0</v>
      </c>
      <c r="W26" s="1">
        <f t="shared" si="3"/>
        <v>0</v>
      </c>
    </row>
    <row r="27" ht="14.25" customHeight="1"/>
    <row r="28" ht="14.25" customHeight="1"/>
    <row r="29" ht="14.25" customHeight="1">
      <c r="B29" s="1" t="s">
        <v>108</v>
      </c>
    </row>
    <row r="30" ht="14.25" customHeight="1"/>
    <row r="31" ht="14.25" customHeight="1">
      <c r="B31" s="1" t="s">
        <v>77</v>
      </c>
      <c r="G31" s="13">
        <f>'Assumpt.-Equity &amp; Bal Sheet '!G9*'Balance Sheets '!G$37</f>
        <v>124045.6</v>
      </c>
      <c r="H31" s="13">
        <f>'Assumpt.-Equity &amp; Bal Sheet '!H9*'Balance Sheets '!H$37</f>
        <v>112557.8667</v>
      </c>
      <c r="I31" s="13">
        <f>'Assumpt.-Equity &amp; Bal Sheet '!I9*'Balance Sheets '!I$37</f>
        <v>100936.8</v>
      </c>
      <c r="J31" s="13">
        <f>'Assumpt.-Equity &amp; Bal Sheet '!J9*'Balance Sheets '!J$37</f>
        <v>81568.72</v>
      </c>
      <c r="K31" s="13">
        <f>'Assumpt.-Equity &amp; Bal Sheet '!K9*'Balance Sheets '!K$37</f>
        <v>67982.56667</v>
      </c>
      <c r="L31" s="13">
        <f>'Assumpt.-Equity &amp; Bal Sheet '!L9*'Balance Sheets '!L$37</f>
        <v>54088.08</v>
      </c>
      <c r="M31" s="13">
        <f>'Assumpt.-Equity &amp; Bal Sheet '!M9*'Balance Sheets '!M$37</f>
        <v>39885.26</v>
      </c>
      <c r="N31" s="13">
        <f>'Assumpt.-Equity &amp; Bal Sheet '!N9*'Balance Sheets '!N$37</f>
        <v>27538.60667</v>
      </c>
      <c r="O31" s="13">
        <f>'Assumpt.-Equity &amp; Bal Sheet '!O9*'Balance Sheets '!O$37</f>
        <v>18521.95333</v>
      </c>
      <c r="P31" s="13">
        <f>'Assumpt.-Equity &amp; Bal Sheet '!P9*'Balance Sheets '!P$37</f>
        <v>19088.3</v>
      </c>
      <c r="Q31" s="13">
        <f>'Assumpt.-Equity &amp; Bal Sheet '!Q9*'Balance Sheets '!Q$37</f>
        <v>24187.14667</v>
      </c>
      <c r="R31" s="13">
        <f>'Assumpt.-Equity &amp; Bal Sheet '!R9*'Balance Sheets '!R$37</f>
        <v>41678.03333</v>
      </c>
      <c r="S31" s="13">
        <f>'Assumpt.-Equity &amp; Bal Sheet '!S9*'Balance Sheets '!S$37</f>
        <v>41678.03333</v>
      </c>
      <c r="T31" s="13">
        <f>'Assumpt.-Equity &amp; Bal Sheet '!T9*'Balance Sheets '!T$37</f>
        <v>485219.2333</v>
      </c>
      <c r="U31" s="13">
        <f>'Assumpt.-Equity &amp; Bal Sheet '!U9*'Balance Sheets '!U$37</f>
        <v>1093077.433</v>
      </c>
      <c r="V31" s="13">
        <f>'Assumpt.-Equity &amp; Bal Sheet '!V9*'Balance Sheets '!V$37</f>
        <v>1976178.633</v>
      </c>
      <c r="W31" s="13">
        <f>'Assumpt.-Equity &amp; Bal Sheet '!W9*'Balance Sheets '!W$37</f>
        <v>3839426.5</v>
      </c>
      <c r="X31" s="13"/>
      <c r="Y31" s="13"/>
      <c r="Z31" s="13"/>
    </row>
    <row r="32" ht="14.25" customHeight="1">
      <c r="B32" s="1" t="s">
        <v>78</v>
      </c>
      <c r="G32" s="13">
        <f>'Assumpt.-Equity &amp; Bal Sheet '!G10*'Balance Sheets '!G$37</f>
        <v>93034.2</v>
      </c>
      <c r="H32" s="13">
        <f>'Assumpt.-Equity &amp; Bal Sheet '!H10*'Balance Sheets '!H$37</f>
        <v>84418.4</v>
      </c>
      <c r="I32" s="13">
        <f>'Assumpt.-Equity &amp; Bal Sheet '!I10*'Balance Sheets '!I$37</f>
        <v>75702.6</v>
      </c>
      <c r="J32" s="13">
        <f>'Assumpt.-Equity &amp; Bal Sheet '!J10*'Balance Sheets '!J$37</f>
        <v>62829.96</v>
      </c>
      <c r="K32" s="13">
        <f>'Assumpt.-Equity &amp; Bal Sheet '!K10*'Balance Sheets '!K$37</f>
        <v>52364.95</v>
      </c>
      <c r="L32" s="13">
        <f>'Assumpt.-Equity &amp; Bal Sheet '!L10*'Balance Sheets '!L$37</f>
        <v>41662.44</v>
      </c>
      <c r="M32" s="13">
        <f>'Assumpt.-Equity &amp; Bal Sheet '!M10*'Balance Sheets '!M$37</f>
        <v>30722.43</v>
      </c>
      <c r="N32" s="13">
        <f>'Assumpt.-Equity &amp; Bal Sheet '!N10*'Balance Sheets '!N$37</f>
        <v>21212.17</v>
      </c>
      <c r="O32" s="13">
        <f>'Assumpt.-Equity &amp; Bal Sheet '!O10*'Balance Sheets '!O$37</f>
        <v>14266.91</v>
      </c>
      <c r="P32" s="13">
        <f>'Assumpt.-Equity &amp; Bal Sheet '!P10*'Balance Sheets '!P$37</f>
        <v>14703.15</v>
      </c>
      <c r="Q32" s="13">
        <f>'Assumpt.-Equity &amp; Bal Sheet '!Q10*'Balance Sheets '!Q$37</f>
        <v>18630.64</v>
      </c>
      <c r="R32" s="13">
        <f>'Assumpt.-Equity &amp; Bal Sheet '!R10*'Balance Sheets '!R$37</f>
        <v>32103.35</v>
      </c>
      <c r="S32" s="13">
        <f>'Assumpt.-Equity &amp; Bal Sheet '!S10*'Balance Sheets '!S$37</f>
        <v>32103.35</v>
      </c>
      <c r="T32" s="13">
        <f>'Assumpt.-Equity &amp; Bal Sheet '!T10*'Balance Sheets '!T$37</f>
        <v>373749.95</v>
      </c>
      <c r="U32" s="13">
        <f>'Assumpt.-Equity &amp; Bal Sheet '!U10*'Balance Sheets '!U$37</f>
        <v>841965.05</v>
      </c>
      <c r="V32" s="13">
        <f>'Assumpt.-Equity &amp; Bal Sheet '!V10*'Balance Sheets '!V$37</f>
        <v>1522191.65</v>
      </c>
      <c r="W32" s="13">
        <f>'Assumpt.-Equity &amp; Bal Sheet '!W10*'Balance Sheets '!W$37</f>
        <v>2854958.167</v>
      </c>
      <c r="X32" s="13"/>
      <c r="Y32" s="13"/>
      <c r="Z32" s="13"/>
    </row>
    <row r="33" ht="14.25" customHeight="1">
      <c r="B33" s="1" t="s">
        <v>79</v>
      </c>
      <c r="G33" s="13">
        <f>'Assumpt.-Equity &amp; Bal Sheet '!G11*'Balance Sheets '!G$37</f>
        <v>93034.2</v>
      </c>
      <c r="H33" s="13">
        <f>'Assumpt.-Equity &amp; Bal Sheet '!H11*'Balance Sheets '!H$37</f>
        <v>84418.4</v>
      </c>
      <c r="I33" s="13">
        <f>'Assumpt.-Equity &amp; Bal Sheet '!I11*'Balance Sheets '!I$37</f>
        <v>75702.6</v>
      </c>
      <c r="J33" s="13">
        <f>'Assumpt.-Equity &amp; Bal Sheet '!J11*'Balance Sheets '!J$37</f>
        <v>62829.96</v>
      </c>
      <c r="K33" s="13">
        <f>'Assumpt.-Equity &amp; Bal Sheet '!K11*'Balance Sheets '!K$37</f>
        <v>52364.95</v>
      </c>
      <c r="L33" s="13">
        <f>'Assumpt.-Equity &amp; Bal Sheet '!L11*'Balance Sheets '!L$37</f>
        <v>41662.44</v>
      </c>
      <c r="M33" s="13">
        <f>'Assumpt.-Equity &amp; Bal Sheet '!M11*'Balance Sheets '!M$37</f>
        <v>30722.43</v>
      </c>
      <c r="N33" s="13">
        <f>'Assumpt.-Equity &amp; Bal Sheet '!N11*'Balance Sheets '!N$37</f>
        <v>21212.17</v>
      </c>
      <c r="O33" s="13">
        <f>'Assumpt.-Equity &amp; Bal Sheet '!O11*'Balance Sheets '!O$37</f>
        <v>14266.91</v>
      </c>
      <c r="P33" s="13">
        <f>'Assumpt.-Equity &amp; Bal Sheet '!P11*'Balance Sheets '!P$37</f>
        <v>14703.15</v>
      </c>
      <c r="Q33" s="13">
        <f>'Assumpt.-Equity &amp; Bal Sheet '!Q11*'Balance Sheets '!Q$37</f>
        <v>18630.64</v>
      </c>
      <c r="R33" s="13">
        <f>'Assumpt.-Equity &amp; Bal Sheet '!R11*'Balance Sheets '!R$37</f>
        <v>32103.35</v>
      </c>
      <c r="S33" s="13">
        <f>'Assumpt.-Equity &amp; Bal Sheet '!S11*'Balance Sheets '!S$37</f>
        <v>32103.35</v>
      </c>
      <c r="T33" s="13">
        <f>'Assumpt.-Equity &amp; Bal Sheet '!T11*'Balance Sheets '!T$37</f>
        <v>373749.95</v>
      </c>
      <c r="U33" s="13">
        <f>'Assumpt.-Equity &amp; Bal Sheet '!U11*'Balance Sheets '!U$37</f>
        <v>841965.05</v>
      </c>
      <c r="V33" s="13">
        <f>'Assumpt.-Equity &amp; Bal Sheet '!V11*'Balance Sheets '!V$37</f>
        <v>1522191.65</v>
      </c>
      <c r="W33" s="13">
        <f>'Assumpt.-Equity &amp; Bal Sheet '!W11*'Balance Sheets '!W$37</f>
        <v>2854958.167</v>
      </c>
      <c r="X33" s="13"/>
      <c r="Y33" s="13"/>
      <c r="Z33" s="13"/>
    </row>
    <row r="34" ht="14.25" customHeight="1">
      <c r="B34" s="1" t="s">
        <v>80</v>
      </c>
      <c r="G34" s="13">
        <f>'Assumpt.-Equity &amp; Bal Sheet '!G12*'Balance Sheets '!G$37</f>
        <v>0</v>
      </c>
      <c r="H34" s="13">
        <f>'Assumpt.-Equity &amp; Bal Sheet '!H12*'Balance Sheets '!H$37</f>
        <v>0</v>
      </c>
      <c r="I34" s="13">
        <f>'Assumpt.-Equity &amp; Bal Sheet '!I12*'Balance Sheets '!I$37</f>
        <v>0</v>
      </c>
      <c r="J34" s="13">
        <f>'Assumpt.-Equity &amp; Bal Sheet '!J12*'Balance Sheets '!J$37</f>
        <v>13227.36</v>
      </c>
      <c r="K34" s="13">
        <f>'Assumpt.-Equity &amp; Bal Sheet '!K12*'Balance Sheets '!K$37</f>
        <v>11024.2</v>
      </c>
      <c r="L34" s="13">
        <f>'Assumpt.-Equity &amp; Bal Sheet '!L12*'Balance Sheets '!L$37</f>
        <v>8771.04</v>
      </c>
      <c r="M34" s="13">
        <f>'Assumpt.-Equity &amp; Bal Sheet '!M12*'Balance Sheets '!M$37</f>
        <v>6467.88</v>
      </c>
      <c r="N34" s="13">
        <f>'Assumpt.-Equity &amp; Bal Sheet '!N12*'Balance Sheets '!N$37</f>
        <v>4465.72</v>
      </c>
      <c r="O34" s="13">
        <f>'Assumpt.-Equity &amp; Bal Sheet '!O12*'Balance Sheets '!O$37</f>
        <v>3003.56</v>
      </c>
      <c r="P34" s="13">
        <f>'Assumpt.-Equity &amp; Bal Sheet '!P12*'Balance Sheets '!P$37</f>
        <v>3095.4</v>
      </c>
      <c r="Q34" s="13">
        <f>'Assumpt.-Equity &amp; Bal Sheet '!Q12*'Balance Sheets '!Q$37</f>
        <v>3922.24</v>
      </c>
      <c r="R34" s="13">
        <f>'Assumpt.-Equity &amp; Bal Sheet '!R12*'Balance Sheets '!R$37</f>
        <v>6758.6</v>
      </c>
      <c r="S34" s="13">
        <f>'Assumpt.-Equity &amp; Bal Sheet '!S12*'Balance Sheets '!S$37</f>
        <v>6758.6</v>
      </c>
      <c r="T34" s="13">
        <f>'Assumpt.-Equity &amp; Bal Sheet '!T12*'Balance Sheets '!T$37</f>
        <v>78684.2</v>
      </c>
      <c r="U34" s="13">
        <f>'Assumpt.-Equity &amp; Bal Sheet '!U12*'Balance Sheets '!U$37</f>
        <v>177255.8</v>
      </c>
      <c r="V34" s="13">
        <f>'Assumpt.-Equity &amp; Bal Sheet '!V12*'Balance Sheets '!V$37</f>
        <v>320461.4</v>
      </c>
      <c r="W34" s="13">
        <f>'Assumpt.-Equity &amp; Bal Sheet '!W12*'Balance Sheets '!W$37</f>
        <v>295340.5</v>
      </c>
      <c r="X34" s="13"/>
      <c r="Y34" s="13"/>
      <c r="Z34" s="13"/>
    </row>
    <row r="35" ht="14.25" customHeight="1">
      <c r="B35" s="1" t="s">
        <v>81</v>
      </c>
      <c r="G35" s="13">
        <f>'Assumpt.-Equity &amp; Bal Sheet '!G13*'Balance Sheets '!G$37</f>
        <v>0</v>
      </c>
      <c r="H35" s="13">
        <f>'Assumpt.-Equity &amp; Bal Sheet '!H13*'Balance Sheets '!H$37</f>
        <v>0</v>
      </c>
      <c r="I35" s="13">
        <f>'Assumpt.-Equity &amp; Bal Sheet '!I13*'Balance Sheets '!I$37</f>
        <v>0</v>
      </c>
      <c r="J35" s="13">
        <f>'Assumpt.-Equity &amp; Bal Sheet '!J13*'Balance Sheets '!J$37</f>
        <v>0</v>
      </c>
      <c r="K35" s="13">
        <f>'Assumpt.-Equity &amp; Bal Sheet '!K13*'Balance Sheets '!K$37</f>
        <v>0</v>
      </c>
      <c r="L35" s="13">
        <f>'Assumpt.-Equity &amp; Bal Sheet '!L13*'Balance Sheets '!L$37</f>
        <v>0</v>
      </c>
      <c r="M35" s="13">
        <f>'Assumpt.-Equity &amp; Bal Sheet '!M13*'Balance Sheets '!M$37</f>
        <v>0</v>
      </c>
      <c r="N35" s="13">
        <f>'Assumpt.-Equity &amp; Bal Sheet '!N13*'Balance Sheets '!N$37</f>
        <v>0</v>
      </c>
      <c r="O35" s="13">
        <f>'Assumpt.-Equity &amp; Bal Sheet '!O13*'Balance Sheets '!O$37</f>
        <v>0</v>
      </c>
      <c r="P35" s="13">
        <f>'Assumpt.-Equity &amp; Bal Sheet '!P13*'Balance Sheets '!P$37</f>
        <v>0</v>
      </c>
      <c r="Q35" s="13">
        <f>'Assumpt.-Equity &amp; Bal Sheet '!Q13*'Balance Sheets '!Q$37</f>
        <v>0</v>
      </c>
      <c r="R35" s="13">
        <f>'Assumpt.-Equity &amp; Bal Sheet '!R13*'Balance Sheets '!R$37</f>
        <v>0</v>
      </c>
      <c r="S35" s="13">
        <f>'Assumpt.-Equity &amp; Bal Sheet '!S13*'Balance Sheets '!S$37</f>
        <v>0</v>
      </c>
      <c r="T35" s="13">
        <f>'Assumpt.-Equity &amp; Bal Sheet '!T13*'Balance Sheets '!T$37</f>
        <v>0</v>
      </c>
      <c r="U35" s="13">
        <f>'Assumpt.-Equity &amp; Bal Sheet '!U13*'Balance Sheets '!U$37</f>
        <v>0</v>
      </c>
      <c r="V35" s="13">
        <f>'Assumpt.-Equity &amp; Bal Sheet '!V13*'Balance Sheets '!V$37</f>
        <v>0</v>
      </c>
      <c r="W35" s="13">
        <f>'Assumpt.-Equity &amp; Bal Sheet '!W13*'Balance Sheets '!W$37</f>
        <v>0</v>
      </c>
      <c r="X35" s="13"/>
      <c r="Y35" s="13"/>
      <c r="Z35" s="13"/>
    </row>
    <row r="36" ht="14.25" customHeight="1"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B37" s="1" t="s">
        <v>109</v>
      </c>
      <c r="G37" s="18">
        <f t="shared" ref="G37:W37" si="4">G39-G26</f>
        <v>310114</v>
      </c>
      <c r="H37" s="18">
        <f t="shared" si="4"/>
        <v>281394.6667</v>
      </c>
      <c r="I37" s="18">
        <f t="shared" si="4"/>
        <v>252342</v>
      </c>
      <c r="J37" s="18">
        <f t="shared" si="4"/>
        <v>220456</v>
      </c>
      <c r="K37" s="18">
        <f t="shared" si="4"/>
        <v>183736.6667</v>
      </c>
      <c r="L37" s="18">
        <f t="shared" si="4"/>
        <v>146184</v>
      </c>
      <c r="M37" s="18">
        <f t="shared" si="4"/>
        <v>107798</v>
      </c>
      <c r="N37" s="18">
        <f t="shared" si="4"/>
        <v>74428.66667</v>
      </c>
      <c r="O37" s="18">
        <f t="shared" si="4"/>
        <v>50059.33333</v>
      </c>
      <c r="P37" s="18">
        <f t="shared" si="4"/>
        <v>51590</v>
      </c>
      <c r="Q37" s="18">
        <f t="shared" si="4"/>
        <v>65370.66667</v>
      </c>
      <c r="R37" s="18">
        <f t="shared" si="4"/>
        <v>112643.3333</v>
      </c>
      <c r="S37" s="18">
        <f t="shared" si="4"/>
        <v>112643.3333</v>
      </c>
      <c r="T37" s="18">
        <f t="shared" si="4"/>
        <v>1311403.333</v>
      </c>
      <c r="U37" s="18">
        <f t="shared" si="4"/>
        <v>2954263.333</v>
      </c>
      <c r="V37" s="18">
        <f t="shared" si="4"/>
        <v>5341023.333</v>
      </c>
      <c r="W37" s="18">
        <f t="shared" si="4"/>
        <v>9844683.333</v>
      </c>
    </row>
    <row r="38" ht="14.25" customHeight="1"/>
    <row r="39" ht="14.25" customHeight="1">
      <c r="B39" s="1" t="s">
        <v>110</v>
      </c>
      <c r="G39" s="38">
        <f t="shared" ref="G39:W39" si="5">G18</f>
        <v>310114</v>
      </c>
      <c r="H39" s="38">
        <f t="shared" si="5"/>
        <v>281394.6667</v>
      </c>
      <c r="I39" s="38">
        <f t="shared" si="5"/>
        <v>252342</v>
      </c>
      <c r="J39" s="38">
        <f t="shared" si="5"/>
        <v>220456</v>
      </c>
      <c r="K39" s="38">
        <f t="shared" si="5"/>
        <v>183736.6667</v>
      </c>
      <c r="L39" s="38">
        <f t="shared" si="5"/>
        <v>146184</v>
      </c>
      <c r="M39" s="38">
        <f t="shared" si="5"/>
        <v>107798</v>
      </c>
      <c r="N39" s="38">
        <f t="shared" si="5"/>
        <v>74428.66667</v>
      </c>
      <c r="O39" s="38">
        <f t="shared" si="5"/>
        <v>50059.33333</v>
      </c>
      <c r="P39" s="38">
        <f t="shared" si="5"/>
        <v>51590</v>
      </c>
      <c r="Q39" s="38">
        <f t="shared" si="5"/>
        <v>65370.66667</v>
      </c>
      <c r="R39" s="38">
        <f t="shared" si="5"/>
        <v>112643.3333</v>
      </c>
      <c r="S39" s="38">
        <f t="shared" si="5"/>
        <v>112643.3333</v>
      </c>
      <c r="T39" s="38">
        <f t="shared" si="5"/>
        <v>1311403.333</v>
      </c>
      <c r="U39" s="38">
        <f t="shared" si="5"/>
        <v>2954263.333</v>
      </c>
      <c r="V39" s="38">
        <f t="shared" si="5"/>
        <v>5341023.333</v>
      </c>
      <c r="W39" s="38">
        <f t="shared" si="5"/>
        <v>9844683.333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G4:S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31.86"/>
    <col customWidth="1" min="3" max="3" width="8.71"/>
    <col customWidth="1" min="4" max="4" width="1.86"/>
    <col customWidth="1" min="5" max="20" width="8.71"/>
    <col customWidth="1" min="21" max="21" width="9.71"/>
    <col customWidth="1" min="22" max="22" width="10.57"/>
    <col customWidth="1" min="23" max="23" width="11.57"/>
    <col customWidth="1" min="24" max="26" width="8.71"/>
  </cols>
  <sheetData>
    <row r="1" ht="14.25" customHeight="1"/>
    <row r="2" ht="14.25" customHeight="1">
      <c r="A2" s="1" t="s">
        <v>111</v>
      </c>
    </row>
    <row r="3" ht="14.25" customHeight="1">
      <c r="G3" s="8"/>
    </row>
    <row r="4" ht="14.25" customHeight="1">
      <c r="A4" s="4" t="s">
        <v>2</v>
      </c>
      <c r="B4" s="4"/>
      <c r="G4" s="2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14.25" customHeight="1">
      <c r="E5" s="7"/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14</v>
      </c>
      <c r="Q5" s="6" t="s">
        <v>15</v>
      </c>
      <c r="R5" s="6" t="s">
        <v>16</v>
      </c>
      <c r="S5" s="6" t="s">
        <v>75</v>
      </c>
      <c r="T5" s="6" t="s">
        <v>18</v>
      </c>
      <c r="U5" s="6" t="s">
        <v>19</v>
      </c>
      <c r="V5" s="6" t="s">
        <v>20</v>
      </c>
      <c r="W5" s="6" t="s">
        <v>21</v>
      </c>
    </row>
    <row r="6" ht="14.25" customHeight="1"/>
    <row r="7" ht="14.25" customHeight="1">
      <c r="B7" s="1" t="s">
        <v>112</v>
      </c>
    </row>
    <row r="8" ht="14.25" customHeight="1"/>
    <row r="9" ht="14.25" customHeight="1">
      <c r="B9" s="9" t="s">
        <v>42</v>
      </c>
      <c r="G9" s="13">
        <f>'Assumptions - Revenue'!$E34*'Assumptions - Revenue'!G7</f>
        <v>0</v>
      </c>
      <c r="H9" s="13">
        <f>'Assumptions - Revenue'!$E34*'Assumptions - Revenue'!H7</f>
        <v>0</v>
      </c>
      <c r="I9" s="13">
        <f>'Assumptions - Revenue'!$E34*'Assumptions - Revenue'!I7</f>
        <v>0</v>
      </c>
      <c r="J9" s="13">
        <f>'Assumptions - Revenue'!$E34*'Assumptions - Revenue'!J7</f>
        <v>0</v>
      </c>
      <c r="K9" s="13">
        <f>'Assumptions - Revenue'!$E34*'Assumptions - Revenue'!K7</f>
        <v>0</v>
      </c>
      <c r="L9" s="13">
        <f>'Assumptions - Revenue'!$E34*'Assumptions - Revenue'!L7</f>
        <v>0</v>
      </c>
      <c r="M9" s="13">
        <f>'Assumptions - Revenue'!$E34*'Assumptions - Revenue'!M7</f>
        <v>0</v>
      </c>
      <c r="N9" s="13">
        <f>'Assumptions - Revenue'!$E34*'Assumptions - Revenue'!N7</f>
        <v>3500</v>
      </c>
      <c r="O9" s="13">
        <f>'Assumptions - Revenue'!$E34*'Assumptions - Revenue'!O7</f>
        <v>10000</v>
      </c>
      <c r="P9" s="13">
        <f>'Assumptions - Revenue'!$E34*'Assumptions - Revenue'!P7</f>
        <v>25000</v>
      </c>
      <c r="Q9" s="13">
        <f>'Assumptions - Revenue'!$E34*'Assumptions - Revenue'!Q7</f>
        <v>30000</v>
      </c>
      <c r="R9" s="13">
        <f>'Assumptions - Revenue'!$E34*'Assumptions - Revenue'!R7</f>
        <v>45000</v>
      </c>
      <c r="S9" s="13">
        <f t="shared" ref="S9:S12" si="1">SUM(G9:R9)</f>
        <v>113500</v>
      </c>
      <c r="T9" s="13">
        <f>'Assumptions - Revenue'!F34*'Assumptions - Revenue'!T7*12</f>
        <v>960000</v>
      </c>
      <c r="U9" s="13">
        <f>'Assumptions - Revenue'!G34*'Assumptions - Revenue'!U7*12</f>
        <v>1320000</v>
      </c>
      <c r="V9" s="13">
        <f>'Assumptions - Revenue'!H34*'Assumptions - Revenue'!V7*12</f>
        <v>1650000</v>
      </c>
      <c r="W9" s="13">
        <f>'Assumptions - Revenue'!I34*'Assumptions - Revenue'!W7*12</f>
        <v>2178000</v>
      </c>
      <c r="X9" s="13"/>
    </row>
    <row r="10" ht="14.25" customHeight="1">
      <c r="B10" s="9" t="s">
        <v>43</v>
      </c>
      <c r="G10" s="13">
        <f>'Assumptions - Revenue'!$E35*'Assumptions - Revenue'!G8</f>
        <v>0</v>
      </c>
      <c r="H10" s="13">
        <f>'Assumptions - Revenue'!$E35*'Assumptions - Revenue'!H8</f>
        <v>0</v>
      </c>
      <c r="I10" s="13">
        <f>'Assumptions - Revenue'!$E35*'Assumptions - Revenue'!I8</f>
        <v>0</v>
      </c>
      <c r="J10" s="13">
        <f>'Assumptions - Revenue'!$E35*'Assumptions - Revenue'!J8</f>
        <v>0</v>
      </c>
      <c r="K10" s="13">
        <f>'Assumptions - Revenue'!$E35*'Assumptions - Revenue'!K8</f>
        <v>0</v>
      </c>
      <c r="L10" s="13">
        <f>'Assumptions - Revenue'!$E35*'Assumptions - Revenue'!L8</f>
        <v>0</v>
      </c>
      <c r="M10" s="13">
        <f>'Assumptions - Revenue'!$E35*'Assumptions - Revenue'!M8</f>
        <v>0</v>
      </c>
      <c r="N10" s="13">
        <f>'Assumptions - Revenue'!$E35*'Assumptions - Revenue'!N8</f>
        <v>1750</v>
      </c>
      <c r="O10" s="13">
        <f>'Assumptions - Revenue'!$E35*'Assumptions - Revenue'!O8</f>
        <v>2800</v>
      </c>
      <c r="P10" s="13">
        <f>'Assumptions - Revenue'!$E35*'Assumptions - Revenue'!P8</f>
        <v>7000</v>
      </c>
      <c r="Q10" s="13">
        <f>'Assumptions - Revenue'!$E35*'Assumptions - Revenue'!Q8</f>
        <v>8750</v>
      </c>
      <c r="R10" s="13">
        <f>'Assumptions - Revenue'!$E35*'Assumptions - Revenue'!R8</f>
        <v>17500</v>
      </c>
      <c r="S10" s="13">
        <f t="shared" si="1"/>
        <v>37800</v>
      </c>
      <c r="T10" s="13">
        <f>'Assumptions - Revenue'!F35*'Assumptions - Revenue'!T8*12</f>
        <v>420000</v>
      </c>
      <c r="U10" s="13">
        <f>'Assumptions - Revenue'!G35*'Assumptions - Revenue'!U8*12</f>
        <v>646800</v>
      </c>
      <c r="V10" s="13">
        <f>'Assumptions - Revenue'!H35*'Assumptions - Revenue'!V8*12</f>
        <v>693000</v>
      </c>
      <c r="W10" s="13">
        <f>'Assumptions - Revenue'!I35*'Assumptions - Revenue'!W8*12</f>
        <v>1778700</v>
      </c>
      <c r="X10" s="13"/>
    </row>
    <row r="11" ht="14.25" customHeight="1">
      <c r="B11" s="9" t="s">
        <v>44</v>
      </c>
      <c r="G11" s="13">
        <f>'Assumptions - Revenue'!$E36*'Assumptions - Revenue'!G9</f>
        <v>0</v>
      </c>
      <c r="H11" s="13">
        <f>'Assumptions - Revenue'!$E36*'Assumptions - Revenue'!H9</f>
        <v>0</v>
      </c>
      <c r="I11" s="13">
        <f>'Assumptions - Revenue'!$E36*'Assumptions - Revenue'!I9</f>
        <v>0</v>
      </c>
      <c r="J11" s="13">
        <f>'Assumptions - Revenue'!$E36*'Assumptions - Revenue'!J9</f>
        <v>0</v>
      </c>
      <c r="K11" s="13">
        <f>'Assumptions - Revenue'!$E36*'Assumptions - Revenue'!K9</f>
        <v>0</v>
      </c>
      <c r="L11" s="13">
        <f>'Assumptions - Revenue'!$E36*'Assumptions - Revenue'!L9</f>
        <v>0</v>
      </c>
      <c r="M11" s="13">
        <f>'Assumptions - Revenue'!$E36*'Assumptions - Revenue'!M9</f>
        <v>0</v>
      </c>
      <c r="N11" s="13">
        <f>'Assumptions - Revenue'!$E36*'Assumptions - Revenue'!N9</f>
        <v>600</v>
      </c>
      <c r="O11" s="13">
        <f>'Assumptions - Revenue'!$E36*'Assumptions - Revenue'!O9</f>
        <v>1800</v>
      </c>
      <c r="P11" s="13">
        <f>'Assumptions - Revenue'!$E36*'Assumptions - Revenue'!P9</f>
        <v>6000</v>
      </c>
      <c r="Q11" s="13">
        <f>'Assumptions - Revenue'!$E36*'Assumptions - Revenue'!Q9</f>
        <v>9000</v>
      </c>
      <c r="R11" s="13">
        <f>'Assumptions - Revenue'!$E36*'Assumptions - Revenue'!R9</f>
        <v>15000</v>
      </c>
      <c r="S11" s="13">
        <f t="shared" si="1"/>
        <v>32400</v>
      </c>
      <c r="T11" s="13">
        <f>'Assumptions - Revenue'!F36*'Assumptions - Revenue'!T9*12</f>
        <v>216000</v>
      </c>
      <c r="U11" s="13">
        <f>'Assumptions - Revenue'!G36*'Assumptions - Revenue'!U9*12</f>
        <v>316800</v>
      </c>
      <c r="V11" s="13">
        <f>'Assumptions - Revenue'!H36*'Assumptions - Revenue'!V9*12</f>
        <v>594000</v>
      </c>
      <c r="W11" s="13">
        <f>'Assumptions - Revenue'!I36*'Assumptions - Revenue'!W9*12</f>
        <v>871200</v>
      </c>
      <c r="X11" s="13"/>
    </row>
    <row r="12" ht="14.25" customHeight="1">
      <c r="B12" s="9" t="s">
        <v>45</v>
      </c>
      <c r="G12" s="18">
        <f>'Assumptions - Revenue'!$E37*'Assumptions - Revenue'!G10</f>
        <v>0</v>
      </c>
      <c r="H12" s="18">
        <f>'Assumptions - Revenue'!$E37*'Assumptions - Revenue'!H10</f>
        <v>0</v>
      </c>
      <c r="I12" s="18">
        <f>'Assumptions - Revenue'!$E37*'Assumptions - Revenue'!I10</f>
        <v>0</v>
      </c>
      <c r="J12" s="18">
        <f>'Assumptions - Revenue'!$E37*'Assumptions - Revenue'!J10</f>
        <v>0</v>
      </c>
      <c r="K12" s="18">
        <f>'Assumptions - Revenue'!$E37*'Assumptions - Revenue'!K10</f>
        <v>0</v>
      </c>
      <c r="L12" s="18">
        <f>'Assumptions - Revenue'!$E37*'Assumptions - Revenue'!L10</f>
        <v>0</v>
      </c>
      <c r="M12" s="18">
        <f>'Assumptions - Revenue'!$E37*'Assumptions - Revenue'!M10</f>
        <v>0</v>
      </c>
      <c r="N12" s="18">
        <f>'Assumptions - Revenue'!$E37*'Assumptions - Revenue'!N10</f>
        <v>0</v>
      </c>
      <c r="O12" s="18">
        <f>'Assumptions - Revenue'!$E37*'Assumptions - Revenue'!O10</f>
        <v>1250</v>
      </c>
      <c r="P12" s="18">
        <f>'Assumptions - Revenue'!$E37*'Assumptions - Revenue'!P10</f>
        <v>3750</v>
      </c>
      <c r="Q12" s="18">
        <f>'Assumptions - Revenue'!$E37*'Assumptions - Revenue'!Q10</f>
        <v>6250</v>
      </c>
      <c r="R12" s="18">
        <f>'Assumptions - Revenue'!$E37*'Assumptions - Revenue'!R10</f>
        <v>10000</v>
      </c>
      <c r="S12" s="18">
        <f t="shared" si="1"/>
        <v>21250</v>
      </c>
      <c r="T12" s="18">
        <f>'Assumptions - Revenue'!F37*'Assumptions - Revenue'!T10*12</f>
        <v>150000</v>
      </c>
      <c r="U12" s="18">
        <f>'Assumptions - Revenue'!G37*'Assumptions - Revenue'!U10*12</f>
        <v>198000</v>
      </c>
      <c r="V12" s="18">
        <f>'Assumptions - Revenue'!H37*'Assumptions - Revenue'!V10*12</f>
        <v>495000</v>
      </c>
      <c r="W12" s="18">
        <f>'Assumptions - Revenue'!I37*'Assumptions - Revenue'!W10*12</f>
        <v>907500</v>
      </c>
      <c r="X12" s="13"/>
    </row>
    <row r="13" ht="14.25" customHeight="1">
      <c r="B13" s="9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ht="14.25" customHeight="1">
      <c r="B14" s="9" t="s">
        <v>113</v>
      </c>
      <c r="G14" s="13">
        <f t="shared" ref="G14:W14" si="2">SUM(G9:G12)</f>
        <v>0</v>
      </c>
      <c r="H14" s="13">
        <f t="shared" si="2"/>
        <v>0</v>
      </c>
      <c r="I14" s="13">
        <f t="shared" si="2"/>
        <v>0</v>
      </c>
      <c r="J14" s="13">
        <f t="shared" si="2"/>
        <v>0</v>
      </c>
      <c r="K14" s="13">
        <f t="shared" si="2"/>
        <v>0</v>
      </c>
      <c r="L14" s="13">
        <f t="shared" si="2"/>
        <v>0</v>
      </c>
      <c r="M14" s="13">
        <f t="shared" si="2"/>
        <v>0</v>
      </c>
      <c r="N14" s="13">
        <f t="shared" si="2"/>
        <v>5850</v>
      </c>
      <c r="O14" s="13">
        <f t="shared" si="2"/>
        <v>15850</v>
      </c>
      <c r="P14" s="13">
        <f t="shared" si="2"/>
        <v>41750</v>
      </c>
      <c r="Q14" s="13">
        <f t="shared" si="2"/>
        <v>54000</v>
      </c>
      <c r="R14" s="13">
        <f t="shared" si="2"/>
        <v>87500</v>
      </c>
      <c r="S14" s="13">
        <f t="shared" si="2"/>
        <v>204950</v>
      </c>
      <c r="T14" s="13">
        <f t="shared" si="2"/>
        <v>1746000</v>
      </c>
      <c r="U14" s="13">
        <f t="shared" si="2"/>
        <v>2481600</v>
      </c>
      <c r="V14" s="13">
        <f t="shared" si="2"/>
        <v>3432000</v>
      </c>
      <c r="W14" s="13">
        <f t="shared" si="2"/>
        <v>5735400</v>
      </c>
      <c r="X14" s="13"/>
    </row>
    <row r="15" ht="14.25" customHeight="1"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ht="14.25" customHeight="1">
      <c r="B16" s="9" t="s">
        <v>114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ht="14.25" customHeight="1"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ht="14.25" customHeight="1">
      <c r="B18" s="1" t="s">
        <v>115</v>
      </c>
      <c r="G18" s="13">
        <f t="shared" ref="G18:W18" si="3">G14+G16</f>
        <v>0</v>
      </c>
      <c r="H18" s="13">
        <f t="shared" si="3"/>
        <v>0</v>
      </c>
      <c r="I18" s="13">
        <f t="shared" si="3"/>
        <v>0</v>
      </c>
      <c r="J18" s="13">
        <f t="shared" si="3"/>
        <v>0</v>
      </c>
      <c r="K18" s="13">
        <f t="shared" si="3"/>
        <v>0</v>
      </c>
      <c r="L18" s="13">
        <f t="shared" si="3"/>
        <v>0</v>
      </c>
      <c r="M18" s="13">
        <f t="shared" si="3"/>
        <v>0</v>
      </c>
      <c r="N18" s="13">
        <f t="shared" si="3"/>
        <v>5850</v>
      </c>
      <c r="O18" s="13">
        <f t="shared" si="3"/>
        <v>15850</v>
      </c>
      <c r="P18" s="13">
        <f t="shared" si="3"/>
        <v>41750</v>
      </c>
      <c r="Q18" s="13">
        <f t="shared" si="3"/>
        <v>54000</v>
      </c>
      <c r="R18" s="13">
        <f t="shared" si="3"/>
        <v>87500</v>
      </c>
      <c r="S18" s="13">
        <f t="shared" si="3"/>
        <v>204950</v>
      </c>
      <c r="T18" s="13">
        <f t="shared" si="3"/>
        <v>1746000</v>
      </c>
      <c r="U18" s="13">
        <f t="shared" si="3"/>
        <v>2481600</v>
      </c>
      <c r="V18" s="13">
        <f t="shared" si="3"/>
        <v>3432000</v>
      </c>
      <c r="W18" s="13">
        <f t="shared" si="3"/>
        <v>5735400</v>
      </c>
      <c r="X18" s="13"/>
    </row>
    <row r="19" ht="14.25" customHeight="1"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ht="14.25" customHeight="1">
      <c r="B20" s="1" t="s">
        <v>116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ht="14.25" customHeight="1"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ht="14.25" customHeight="1">
      <c r="B22" s="1" t="s">
        <v>117</v>
      </c>
      <c r="G22" s="13">
        <f>'Assumptions - Personnel'!G22</f>
        <v>16250</v>
      </c>
      <c r="H22" s="13">
        <f>'Assumptions - Personnel'!H22</f>
        <v>16250</v>
      </c>
      <c r="I22" s="13">
        <f>'Assumptions - Personnel'!I22</f>
        <v>16250</v>
      </c>
      <c r="J22" s="13">
        <f>'Assumptions - Personnel'!J22</f>
        <v>16250</v>
      </c>
      <c r="K22" s="13">
        <f>'Assumptions - Personnel'!K22</f>
        <v>16250</v>
      </c>
      <c r="L22" s="13">
        <f>'Assumptions - Personnel'!L22</f>
        <v>16250</v>
      </c>
      <c r="M22" s="13">
        <f>'Assumptions - Personnel'!M22</f>
        <v>16250</v>
      </c>
      <c r="N22" s="13">
        <f>'Assumptions - Personnel'!N22</f>
        <v>16250</v>
      </c>
      <c r="O22" s="13">
        <f>'Assumptions - Personnel'!O22</f>
        <v>16250</v>
      </c>
      <c r="P22" s="13">
        <f>'Assumptions - Personnel'!P22</f>
        <v>16250</v>
      </c>
      <c r="Q22" s="13">
        <f>'Assumptions - Personnel'!Q22</f>
        <v>16250</v>
      </c>
      <c r="R22" s="13">
        <f>'Assumptions - Personnel'!R22</f>
        <v>16250</v>
      </c>
      <c r="S22" s="13">
        <f>'Assumptions - Personnel'!S22</f>
        <v>195000</v>
      </c>
      <c r="T22" s="13">
        <f>'Assumptions - Personnel'!T22</f>
        <v>325000</v>
      </c>
      <c r="U22" s="13">
        <f>'Assumptions - Personnel'!U22</f>
        <v>400000</v>
      </c>
      <c r="V22" s="13">
        <f>'Assumptions - Personnel'!V22</f>
        <v>475000</v>
      </c>
      <c r="W22" s="13">
        <f>'Assumptions - Personnel'!W22</f>
        <v>550000</v>
      </c>
      <c r="X22" s="13"/>
    </row>
    <row r="23" ht="14.25" customHeight="1">
      <c r="B23" s="1" t="s">
        <v>118</v>
      </c>
      <c r="G23" s="13">
        <f>'Assumptions - Personnel'!G22*'Assumptions - Personnel'!$C$25</f>
        <v>3575</v>
      </c>
      <c r="H23" s="13">
        <f>'Assumptions - Personnel'!H22*'Assumptions - Personnel'!$C$25</f>
        <v>3575</v>
      </c>
      <c r="I23" s="13">
        <f>'Assumptions - Personnel'!I22*'Assumptions - Personnel'!$C$25</f>
        <v>3575</v>
      </c>
      <c r="J23" s="13">
        <f>'Assumptions - Personnel'!J22*'Assumptions - Personnel'!$C$25</f>
        <v>3575</v>
      </c>
      <c r="K23" s="13">
        <f>'Assumptions - Personnel'!K22*'Assumptions - Personnel'!$C$25</f>
        <v>3575</v>
      </c>
      <c r="L23" s="13">
        <f>'Assumptions - Personnel'!L22*'Assumptions - Personnel'!$C$25</f>
        <v>3575</v>
      </c>
      <c r="M23" s="13">
        <f>'Assumptions - Personnel'!M22*'Assumptions - Personnel'!$C$25</f>
        <v>3575</v>
      </c>
      <c r="N23" s="13">
        <f>'Assumptions - Personnel'!N22*'Assumptions - Personnel'!$C$25</f>
        <v>3575</v>
      </c>
      <c r="O23" s="13">
        <f>'Assumptions - Personnel'!O22*'Assumptions - Personnel'!$C$25</f>
        <v>3575</v>
      </c>
      <c r="P23" s="13">
        <f>'Assumptions - Personnel'!P22*'Assumptions - Personnel'!$C$25</f>
        <v>3575</v>
      </c>
      <c r="Q23" s="13">
        <f>'Assumptions - Personnel'!Q22*'Assumptions - Personnel'!$C$25</f>
        <v>3575</v>
      </c>
      <c r="R23" s="13">
        <f>'Assumptions - Personnel'!R22*'Assumptions - Personnel'!$C$25</f>
        <v>3575</v>
      </c>
      <c r="S23" s="13">
        <f>'Assumptions - Personnel'!S22*'Assumptions - Personnel'!$C$25</f>
        <v>42900</v>
      </c>
      <c r="T23" s="13">
        <f>'Assumptions - Personnel'!T22*'Assumptions - Personnel'!$C$25</f>
        <v>71500</v>
      </c>
      <c r="U23" s="13">
        <f>'Assumptions - Personnel'!U22*'Assumptions - Personnel'!$C$25</f>
        <v>88000</v>
      </c>
      <c r="V23" s="13">
        <f>'Assumptions - Personnel'!V22*'Assumptions - Personnel'!$C$25</f>
        <v>104500</v>
      </c>
      <c r="W23" s="13">
        <f>'Assumptions - Personnel'!W22*'Assumptions - Personnel'!$C$25</f>
        <v>121000</v>
      </c>
      <c r="X23" s="13"/>
    </row>
    <row r="24" ht="14.25" customHeight="1">
      <c r="B24" s="9" t="s">
        <v>119</v>
      </c>
      <c r="G24" s="13">
        <f>'Assumptions - Personnel'!G12</f>
        <v>4166</v>
      </c>
      <c r="H24" s="13">
        <f>'Assumptions - Personnel'!H12</f>
        <v>4166</v>
      </c>
      <c r="I24" s="13">
        <f>'Assumptions - Personnel'!I12</f>
        <v>4166</v>
      </c>
      <c r="J24" s="13">
        <f>'Assumptions - Personnel'!J12</f>
        <v>4166</v>
      </c>
      <c r="K24" s="13">
        <f>'Assumptions - Personnel'!K12</f>
        <v>4166</v>
      </c>
      <c r="L24" s="13">
        <f>'Assumptions - Personnel'!L12</f>
        <v>4166</v>
      </c>
      <c r="M24" s="13">
        <f>'Assumptions - Personnel'!M12</f>
        <v>4166</v>
      </c>
      <c r="N24" s="13">
        <f>'Assumptions - Personnel'!N12</f>
        <v>4166</v>
      </c>
      <c r="O24" s="13">
        <f>'Assumptions - Personnel'!O12</f>
        <v>4166</v>
      </c>
      <c r="P24" s="13">
        <f>'Assumptions - Personnel'!P12</f>
        <v>4166</v>
      </c>
      <c r="Q24" s="13">
        <f>'Assumptions - Personnel'!Q12</f>
        <v>4166</v>
      </c>
      <c r="R24" s="13">
        <f>'Assumptions - Personnel'!R12</f>
        <v>4174</v>
      </c>
      <c r="S24" s="13">
        <f>'Assumptions - Personnel'!S12</f>
        <v>50000</v>
      </c>
      <c r="T24" s="13">
        <f>'Assumptions - Personnel'!T12</f>
        <v>150000</v>
      </c>
      <c r="U24" s="13">
        <f>'Assumptions - Personnel'!U12</f>
        <v>250000</v>
      </c>
      <c r="V24" s="13">
        <f>'Assumptions - Personnel'!V12</f>
        <v>300000</v>
      </c>
      <c r="W24" s="13">
        <f>'Assumptions - Personnel'!W12</f>
        <v>350000</v>
      </c>
      <c r="X24" s="13"/>
    </row>
    <row r="25" ht="14.25" customHeight="1">
      <c r="B25" s="9" t="s">
        <v>120</v>
      </c>
      <c r="G25" s="13">
        <f>'Assumptions - Non-Personnel Exp'!G18</f>
        <v>0</v>
      </c>
      <c r="H25" s="13">
        <f>'Assumptions - Non-Personnel Exp'!H18</f>
        <v>0</v>
      </c>
      <c r="I25" s="13">
        <f>'Assumptions - Non-Personnel Exp'!I18</f>
        <v>2500</v>
      </c>
      <c r="J25" s="13">
        <f>'Assumptions - Non-Personnel Exp'!J18</f>
        <v>4500</v>
      </c>
      <c r="K25" s="13">
        <f>'Assumptions - Non-Personnel Exp'!K18</f>
        <v>8500</v>
      </c>
      <c r="L25" s="13">
        <f>'Assumptions - Non-Personnel Exp'!L18</f>
        <v>8500</v>
      </c>
      <c r="M25" s="13">
        <f>'Assumptions - Non-Personnel Exp'!M18</f>
        <v>8500</v>
      </c>
      <c r="N25" s="13">
        <f>'Assumptions - Non-Personnel Exp'!N18</f>
        <v>8500</v>
      </c>
      <c r="O25" s="13">
        <f>'Assumptions - Non-Personnel Exp'!O18</f>
        <v>8500</v>
      </c>
      <c r="P25" s="13">
        <f>'Assumptions - Non-Personnel Exp'!P18</f>
        <v>8500</v>
      </c>
      <c r="Q25" s="13">
        <f>'Assumptions - Non-Personnel Exp'!Q18</f>
        <v>8500</v>
      </c>
      <c r="R25" s="13">
        <f>'Assumptions - Non-Personnel Exp'!R18</f>
        <v>8500</v>
      </c>
      <c r="S25" s="13">
        <f>'Assumptions - Non-Personnel Exp'!S18</f>
        <v>75000</v>
      </c>
      <c r="T25" s="13">
        <f>'Assumptions - Non-Personnel Exp'!T18</f>
        <v>75000</v>
      </c>
      <c r="U25" s="13">
        <f>'Assumptions - Non-Personnel Exp'!U18</f>
        <v>100000</v>
      </c>
      <c r="V25" s="13">
        <f>'Assumptions - Non-Personnel Exp'!V18</f>
        <v>100000</v>
      </c>
      <c r="W25" s="13">
        <f>'Assumptions - Non-Personnel Exp'!W18</f>
        <v>150000</v>
      </c>
      <c r="X25" s="13"/>
    </row>
    <row r="26" ht="14.25" customHeight="1">
      <c r="B26" s="9" t="s">
        <v>121</v>
      </c>
      <c r="G26" s="13">
        <f>'Assumptions - Non-Personnel Exp'!G21</f>
        <v>845</v>
      </c>
      <c r="H26" s="13">
        <f>'Assumptions - Non-Personnel Exp'!H21</f>
        <v>845</v>
      </c>
      <c r="I26" s="13">
        <f>'Assumptions - Non-Personnel Exp'!I21</f>
        <v>845</v>
      </c>
      <c r="J26" s="13">
        <f>'Assumptions - Non-Personnel Exp'!J21</f>
        <v>845</v>
      </c>
      <c r="K26" s="13">
        <f>'Assumptions - Non-Personnel Exp'!K21</f>
        <v>845</v>
      </c>
      <c r="L26" s="13">
        <f>'Assumptions - Non-Personnel Exp'!L21</f>
        <v>845</v>
      </c>
      <c r="M26" s="13">
        <f>'Assumptions - Non-Personnel Exp'!M21</f>
        <v>845</v>
      </c>
      <c r="N26" s="13">
        <f>'Assumptions - Non-Personnel Exp'!N21</f>
        <v>845</v>
      </c>
      <c r="O26" s="13">
        <f>'Assumptions - Non-Personnel Exp'!O21</f>
        <v>845</v>
      </c>
      <c r="P26" s="13">
        <f>'Assumptions - Non-Personnel Exp'!P21</f>
        <v>845</v>
      </c>
      <c r="Q26" s="13">
        <f>'Assumptions - Non-Personnel Exp'!Q21</f>
        <v>845</v>
      </c>
      <c r="R26" s="13">
        <f>'Assumptions - Non-Personnel Exp'!R21</f>
        <v>845</v>
      </c>
      <c r="S26" s="13">
        <f>'Assumptions - Non-Personnel Exp'!S21</f>
        <v>10140</v>
      </c>
      <c r="T26" s="13">
        <f>'Assumptions - Non-Personnel Exp'!T21</f>
        <v>10140</v>
      </c>
      <c r="U26" s="13">
        <f>'Assumptions - Non-Personnel Exp'!U21</f>
        <v>10140</v>
      </c>
      <c r="V26" s="13">
        <f>'Assumptions - Non-Personnel Exp'!V21</f>
        <v>10140</v>
      </c>
      <c r="W26" s="13">
        <f>'Assumptions - Non-Personnel Exp'!W21</f>
        <v>10140</v>
      </c>
      <c r="X26" s="13"/>
    </row>
    <row r="27" ht="14.25" customHeight="1">
      <c r="B27" s="9" t="s">
        <v>122</v>
      </c>
      <c r="G27" s="13">
        <f>'Assumptions - Non-Personnel Exp'!G30</f>
        <v>15050</v>
      </c>
      <c r="H27" s="13">
        <f>'Assumptions - Non-Personnel Exp'!H30</f>
        <v>3050</v>
      </c>
      <c r="I27" s="13">
        <f>'Assumptions - Non-Personnel Exp'!I30</f>
        <v>50</v>
      </c>
      <c r="J27" s="13">
        <f>'Assumptions - Non-Personnel Exp'!J30</f>
        <v>50</v>
      </c>
      <c r="K27" s="13">
        <f>'Assumptions - Non-Personnel Exp'!K30</f>
        <v>50</v>
      </c>
      <c r="L27" s="13">
        <f>'Assumptions - Non-Personnel Exp'!L30</f>
        <v>50</v>
      </c>
      <c r="M27" s="13">
        <f>'Assumptions - Non-Personnel Exp'!M30</f>
        <v>50</v>
      </c>
      <c r="N27" s="13">
        <f>'Assumptions - Non-Personnel Exp'!N30</f>
        <v>50</v>
      </c>
      <c r="O27" s="13">
        <f>'Assumptions - Non-Personnel Exp'!O30</f>
        <v>1050</v>
      </c>
      <c r="P27" s="13">
        <f>'Assumptions - Non-Personnel Exp'!P30</f>
        <v>1050</v>
      </c>
      <c r="Q27" s="13">
        <f>'Assumptions - Non-Personnel Exp'!Q30</f>
        <v>1050</v>
      </c>
      <c r="R27" s="13">
        <f>'Assumptions - Non-Personnel Exp'!R30</f>
        <v>1050</v>
      </c>
      <c r="S27" s="13">
        <f>'Assumptions - Non-Personnel Exp'!S30</f>
        <v>22600</v>
      </c>
      <c r="T27" s="13">
        <f>'Assumptions - Non-Personnel Exp'!T30</f>
        <v>10600</v>
      </c>
      <c r="U27" s="13">
        <f>'Assumptions - Non-Personnel Exp'!U30</f>
        <v>10600</v>
      </c>
      <c r="V27" s="13">
        <f>'Assumptions - Non-Personnel Exp'!V30</f>
        <v>25600</v>
      </c>
      <c r="W27" s="13">
        <f>'Assumptions - Non-Personnel Exp'!W30</f>
        <v>25600</v>
      </c>
      <c r="X27" s="13"/>
    </row>
    <row r="28" ht="14.25" customHeight="1">
      <c r="B28" s="9" t="s">
        <v>123</v>
      </c>
      <c r="G28" s="13" t="str">
        <f>'Assumptions - Non-Personnel Exp'!G15</f>
        <v/>
      </c>
      <c r="H28" s="13" t="str">
        <f>'Assumptions - Non-Personnel Exp'!H15</f>
        <v/>
      </c>
      <c r="I28" s="13" t="str">
        <f>'Assumptions - Non-Personnel Exp'!I15</f>
        <v/>
      </c>
      <c r="J28" s="13" t="str">
        <f>'Assumptions - Non-Personnel Exp'!J15</f>
        <v/>
      </c>
      <c r="K28" s="13" t="str">
        <f>'Assumptions - Non-Personnel Exp'!K15</f>
        <v/>
      </c>
      <c r="L28" s="13" t="str">
        <f>'Assumptions - Non-Personnel Exp'!L15</f>
        <v/>
      </c>
      <c r="M28" s="13" t="str">
        <f>'Assumptions - Non-Personnel Exp'!M15</f>
        <v/>
      </c>
      <c r="N28" s="13" t="str">
        <f>'Assumptions - Non-Personnel Exp'!N15</f>
        <v/>
      </c>
      <c r="O28" s="13" t="str">
        <f>'Assumptions - Non-Personnel Exp'!O15</f>
        <v/>
      </c>
      <c r="P28" s="13" t="str">
        <f>'Assumptions - Non-Personnel Exp'!P15</f>
        <v/>
      </c>
      <c r="Q28" s="13" t="str">
        <f>'Assumptions - Non-Personnel Exp'!Q15</f>
        <v/>
      </c>
      <c r="R28" s="13" t="str">
        <f>'Assumptions - Non-Personnel Exp'!R15</f>
        <v/>
      </c>
      <c r="S28" s="13" t="str">
        <f>'Assumptions - Non-Personnel Exp'!S15</f>
        <v/>
      </c>
      <c r="T28" s="13" t="str">
        <f>'Assumptions - Non-Personnel Exp'!T15</f>
        <v/>
      </c>
      <c r="U28" s="13" t="str">
        <f>'Assumptions - Non-Personnel Exp'!U15</f>
        <v/>
      </c>
      <c r="V28" s="13" t="str">
        <f>'Assumptions - Non-Personnel Exp'!V15</f>
        <v/>
      </c>
      <c r="W28" s="13" t="str">
        <f>'Assumptions - Non-Personnel Exp'!W15</f>
        <v/>
      </c>
      <c r="X28" s="13"/>
    </row>
    <row r="29" ht="14.25" customHeight="1">
      <c r="B29" s="9" t="s">
        <v>124</v>
      </c>
      <c r="G29" s="18">
        <f>-'Balance Sheets '!G15</f>
        <v>0</v>
      </c>
      <c r="H29" s="18">
        <f>-'Balance Sheets '!H15+'Balance Sheets '!G15</f>
        <v>833.3333333</v>
      </c>
      <c r="I29" s="18">
        <f>-'Balance Sheets '!I15+'Balance Sheets '!H15</f>
        <v>1666.666667</v>
      </c>
      <c r="J29" s="18">
        <f>-'Balance Sheets '!J15+'Balance Sheets '!I15</f>
        <v>2500</v>
      </c>
      <c r="K29" s="18">
        <f>-'Balance Sheets '!K15+'Balance Sheets '!J15</f>
        <v>3333.333333</v>
      </c>
      <c r="L29" s="18">
        <f>-'Balance Sheets '!L15+'Balance Sheets '!K15</f>
        <v>4166.666667</v>
      </c>
      <c r="M29" s="18">
        <f>-'Balance Sheets '!M15+'Balance Sheets '!L15</f>
        <v>5000</v>
      </c>
      <c r="N29" s="18">
        <f>-'Balance Sheets '!N15+'Balance Sheets '!M15</f>
        <v>5833.333333</v>
      </c>
      <c r="O29" s="18">
        <f>-'Balance Sheets '!O15+'Balance Sheets '!N15</f>
        <v>5833.333333</v>
      </c>
      <c r="P29" s="18">
        <f>-'Balance Sheets '!P15+'Balance Sheets '!O15</f>
        <v>5833.333333</v>
      </c>
      <c r="Q29" s="18">
        <f>-'Balance Sheets '!Q15+'Balance Sheets '!P15</f>
        <v>5833.333333</v>
      </c>
      <c r="R29" s="18">
        <f>-'Balance Sheets '!R15+'Balance Sheets '!Q15</f>
        <v>5833.333333</v>
      </c>
      <c r="S29" s="18">
        <f>SUM(G29:R29)</f>
        <v>46666.66667</v>
      </c>
      <c r="T29" s="18">
        <f>-'Balance Sheets '!T15+'Balance Sheets '!S15</f>
        <v>55000</v>
      </c>
      <c r="U29" s="18">
        <f>-'Balance Sheets '!U15+'Balance Sheets '!T15</f>
        <v>80000</v>
      </c>
      <c r="V29" s="18">
        <f>-'Balance Sheets '!V15+'Balance Sheets '!U15</f>
        <v>130000</v>
      </c>
      <c r="W29" s="18">
        <f>-'Balance Sheets '!W15+'Balance Sheets '!V15</f>
        <v>125000</v>
      </c>
      <c r="X29" s="13"/>
    </row>
    <row r="30" ht="14.25" customHeight="1">
      <c r="B30" s="9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ht="14.25" customHeight="1">
      <c r="B31" s="9" t="s">
        <v>125</v>
      </c>
      <c r="G31" s="18">
        <f t="shared" ref="G31:W31" si="4">SUM(G21:G29)</f>
        <v>39886</v>
      </c>
      <c r="H31" s="18">
        <f t="shared" si="4"/>
        <v>28719.33333</v>
      </c>
      <c r="I31" s="18">
        <f t="shared" si="4"/>
        <v>29052.66667</v>
      </c>
      <c r="J31" s="18">
        <f t="shared" si="4"/>
        <v>31886</v>
      </c>
      <c r="K31" s="18">
        <f t="shared" si="4"/>
        <v>36719.33333</v>
      </c>
      <c r="L31" s="18">
        <f t="shared" si="4"/>
        <v>37552.66667</v>
      </c>
      <c r="M31" s="18">
        <f t="shared" si="4"/>
        <v>38386</v>
      </c>
      <c r="N31" s="18">
        <f t="shared" si="4"/>
        <v>39219.33333</v>
      </c>
      <c r="O31" s="18">
        <f t="shared" si="4"/>
        <v>40219.33333</v>
      </c>
      <c r="P31" s="18">
        <f t="shared" si="4"/>
        <v>40219.33333</v>
      </c>
      <c r="Q31" s="18">
        <f t="shared" si="4"/>
        <v>40219.33333</v>
      </c>
      <c r="R31" s="18">
        <f t="shared" si="4"/>
        <v>40227.33333</v>
      </c>
      <c r="S31" s="18">
        <f t="shared" si="4"/>
        <v>442306.6667</v>
      </c>
      <c r="T31" s="18">
        <f t="shared" si="4"/>
        <v>697240</v>
      </c>
      <c r="U31" s="18">
        <f t="shared" si="4"/>
        <v>938740</v>
      </c>
      <c r="V31" s="18">
        <f t="shared" si="4"/>
        <v>1145240</v>
      </c>
      <c r="W31" s="18">
        <f t="shared" si="4"/>
        <v>1331740</v>
      </c>
      <c r="X31" s="13"/>
    </row>
    <row r="32" ht="14.25" customHeight="1">
      <c r="B32" s="9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ht="14.25" customHeight="1">
      <c r="B33" s="9" t="s">
        <v>126</v>
      </c>
      <c r="G33" s="38">
        <f t="shared" ref="G33:W33" si="5">G18-G31</f>
        <v>-39886</v>
      </c>
      <c r="H33" s="38">
        <f t="shared" si="5"/>
        <v>-28719.33333</v>
      </c>
      <c r="I33" s="38">
        <f t="shared" si="5"/>
        <v>-29052.66667</v>
      </c>
      <c r="J33" s="38">
        <f t="shared" si="5"/>
        <v>-31886</v>
      </c>
      <c r="K33" s="38">
        <f t="shared" si="5"/>
        <v>-36719.33333</v>
      </c>
      <c r="L33" s="38">
        <f t="shared" si="5"/>
        <v>-37552.66667</v>
      </c>
      <c r="M33" s="38">
        <f t="shared" si="5"/>
        <v>-38386</v>
      </c>
      <c r="N33" s="38">
        <f t="shared" si="5"/>
        <v>-33369.33333</v>
      </c>
      <c r="O33" s="38">
        <f t="shared" si="5"/>
        <v>-24369.33333</v>
      </c>
      <c r="P33" s="38">
        <f t="shared" si="5"/>
        <v>1530.666667</v>
      </c>
      <c r="Q33" s="38">
        <f t="shared" si="5"/>
        <v>13780.66667</v>
      </c>
      <c r="R33" s="38">
        <f t="shared" si="5"/>
        <v>47272.66667</v>
      </c>
      <c r="S33" s="38">
        <f t="shared" si="5"/>
        <v>-237356.6667</v>
      </c>
      <c r="T33" s="38">
        <f t="shared" si="5"/>
        <v>1048760</v>
      </c>
      <c r="U33" s="38">
        <f t="shared" si="5"/>
        <v>1542860</v>
      </c>
      <c r="V33" s="38">
        <f t="shared" si="5"/>
        <v>2286760</v>
      </c>
      <c r="W33" s="38">
        <f t="shared" si="5"/>
        <v>4403660</v>
      </c>
      <c r="X33" s="13"/>
    </row>
    <row r="34" ht="14.25" customHeight="1"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ht="14.25" customHeight="1">
      <c r="B35" s="9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ht="14.25" customHeight="1">
      <c r="B36" s="9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ht="14.25" customHeight="1">
      <c r="B37" s="9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ht="14.25" customHeight="1">
      <c r="B38" s="9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ht="14.25" customHeight="1"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ht="14.25" customHeight="1"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ht="14.25" customHeight="1"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ht="14.25" customHeight="1"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ht="14.25" customHeight="1"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ht="14.25" customHeight="1"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ht="14.25" customHeight="1"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ht="14.25" customHeight="1"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ht="14.25" customHeight="1"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ht="14.25" customHeight="1"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ht="14.25" customHeight="1"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ht="14.25" customHeight="1"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ht="14.25" customHeight="1"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ht="14.25" customHeight="1"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ht="14.25" customHeight="1"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ht="14.25" customHeight="1"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ht="14.25" customHeight="1"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ht="14.25" customHeight="1"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ht="14.25" customHeight="1"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ht="14.25" customHeight="1"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ht="14.25" customHeight="1"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ht="14.25" customHeight="1"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ht="14.25" customHeight="1"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ht="14.25" customHeight="1"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ht="14.25" customHeight="1"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ht="14.25" customHeight="1"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ht="14.25" customHeight="1"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ht="14.25" customHeight="1"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G3:S3"/>
    <mergeCell ref="G4:S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2.0"/>
    <col customWidth="1" min="3" max="3" width="8.71"/>
    <col customWidth="1" min="4" max="4" width="2.0"/>
    <col customWidth="1" min="5" max="18" width="8.71"/>
    <col customWidth="1" min="19" max="19" width="9.57"/>
    <col customWidth="1" min="20" max="20" width="9.86"/>
    <col customWidth="1" min="21" max="21" width="11.0"/>
    <col customWidth="1" min="22" max="22" width="10.57"/>
    <col customWidth="1" min="23" max="23" width="10.29"/>
    <col customWidth="1" min="24" max="26" width="8.71"/>
  </cols>
  <sheetData>
    <row r="1" ht="14.25" customHeight="1"/>
    <row r="2" ht="14.25" customHeight="1">
      <c r="A2" s="1" t="s">
        <v>127</v>
      </c>
    </row>
    <row r="3" ht="14.25" customHeight="1">
      <c r="G3" s="8"/>
    </row>
    <row r="4" ht="14.25" customHeight="1">
      <c r="A4" s="4" t="s">
        <v>2</v>
      </c>
      <c r="B4" s="4"/>
      <c r="G4" s="2" t="s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14.25" customHeight="1">
      <c r="E5" s="7"/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14</v>
      </c>
      <c r="Q5" s="6" t="s">
        <v>15</v>
      </c>
      <c r="R5" s="6" t="s">
        <v>16</v>
      </c>
      <c r="S5" s="6" t="s">
        <v>75</v>
      </c>
      <c r="T5" s="6" t="s">
        <v>18</v>
      </c>
      <c r="U5" s="6" t="s">
        <v>19</v>
      </c>
      <c r="V5" s="6" t="s">
        <v>20</v>
      </c>
      <c r="W5" s="6" t="s">
        <v>21</v>
      </c>
    </row>
    <row r="6" ht="14.25" customHeight="1"/>
    <row r="7" ht="14.25" customHeight="1">
      <c r="B7" s="9" t="s">
        <v>126</v>
      </c>
      <c r="G7" s="13">
        <f>'Income Statements'!G33</f>
        <v>-39886</v>
      </c>
      <c r="H7" s="13">
        <f>'Income Statements'!H33</f>
        <v>-28719.33333</v>
      </c>
      <c r="I7" s="13">
        <f>'Income Statements'!I33</f>
        <v>-29052.66667</v>
      </c>
      <c r="J7" s="13">
        <f>'Income Statements'!J33</f>
        <v>-31886</v>
      </c>
      <c r="K7" s="13">
        <f>'Income Statements'!K33</f>
        <v>-36719.33333</v>
      </c>
      <c r="L7" s="13">
        <f>'Income Statements'!L33</f>
        <v>-37552.66667</v>
      </c>
      <c r="M7" s="13">
        <f>'Income Statements'!M33</f>
        <v>-38386</v>
      </c>
      <c r="N7" s="13">
        <f>'Income Statements'!N33</f>
        <v>-33369.33333</v>
      </c>
      <c r="O7" s="13">
        <f>'Income Statements'!O33</f>
        <v>-24369.33333</v>
      </c>
      <c r="P7" s="13">
        <f>'Income Statements'!P33</f>
        <v>1530.666667</v>
      </c>
      <c r="Q7" s="13">
        <f>'Income Statements'!Q33</f>
        <v>13780.66667</v>
      </c>
      <c r="R7" s="13">
        <f>'Income Statements'!R33</f>
        <v>47272.66667</v>
      </c>
      <c r="S7" s="13">
        <f>'Income Statements'!S33</f>
        <v>-237356.6667</v>
      </c>
      <c r="T7" s="13">
        <f>'Income Statements'!T33</f>
        <v>1048760</v>
      </c>
      <c r="U7" s="13">
        <f>'Income Statements'!U33</f>
        <v>1542860</v>
      </c>
      <c r="V7" s="13">
        <f>'Income Statements'!V33</f>
        <v>2286760</v>
      </c>
      <c r="W7" s="13">
        <f>'Income Statements'!W33</f>
        <v>4403660</v>
      </c>
    </row>
    <row r="8" ht="14.25" customHeight="1"/>
    <row r="9" ht="14.25" customHeight="1">
      <c r="B9" s="1" t="s">
        <v>128</v>
      </c>
      <c r="G9" s="18">
        <f>'Income Statements'!G29</f>
        <v>0</v>
      </c>
      <c r="H9" s="18">
        <f>'Income Statements'!H29</f>
        <v>833.3333333</v>
      </c>
      <c r="I9" s="18">
        <f>'Income Statements'!I29</f>
        <v>1666.666667</v>
      </c>
      <c r="J9" s="18">
        <f>'Income Statements'!J29</f>
        <v>2500</v>
      </c>
      <c r="K9" s="18">
        <f>'Income Statements'!K29</f>
        <v>3333.333333</v>
      </c>
      <c r="L9" s="18">
        <f>'Income Statements'!L29</f>
        <v>4166.666667</v>
      </c>
      <c r="M9" s="18">
        <f>'Income Statements'!M29</f>
        <v>5000</v>
      </c>
      <c r="N9" s="18">
        <f>'Income Statements'!N29</f>
        <v>5833.333333</v>
      </c>
      <c r="O9" s="18">
        <f>'Income Statements'!O29</f>
        <v>5833.333333</v>
      </c>
      <c r="P9" s="18">
        <f>'Income Statements'!P29</f>
        <v>5833.333333</v>
      </c>
      <c r="Q9" s="18">
        <f>'Income Statements'!Q29</f>
        <v>5833.333333</v>
      </c>
      <c r="R9" s="18">
        <f>'Income Statements'!R29</f>
        <v>5833.333333</v>
      </c>
      <c r="S9" s="18">
        <f>'Income Statements'!S29</f>
        <v>46666.66667</v>
      </c>
      <c r="T9" s="18">
        <f>'Income Statements'!T29</f>
        <v>55000</v>
      </c>
      <c r="U9" s="18">
        <f>'Income Statements'!U29</f>
        <v>80000</v>
      </c>
      <c r="V9" s="18">
        <f>'Income Statements'!V29</f>
        <v>130000</v>
      </c>
      <c r="W9" s="18">
        <f>'Income Statements'!W29</f>
        <v>125000</v>
      </c>
    </row>
    <row r="10" ht="14.25" customHeight="1"/>
    <row r="11" ht="14.25" customHeight="1">
      <c r="B11" s="1" t="s">
        <v>129</v>
      </c>
      <c r="G11" s="13">
        <f t="shared" ref="G11:W11" si="1">G7+G9</f>
        <v>-39886</v>
      </c>
      <c r="H11" s="13">
        <f t="shared" si="1"/>
        <v>-27886</v>
      </c>
      <c r="I11" s="13">
        <f t="shared" si="1"/>
        <v>-27386</v>
      </c>
      <c r="J11" s="13">
        <f t="shared" si="1"/>
        <v>-29386</v>
      </c>
      <c r="K11" s="13">
        <f t="shared" si="1"/>
        <v>-33386</v>
      </c>
      <c r="L11" s="13">
        <f t="shared" si="1"/>
        <v>-33386</v>
      </c>
      <c r="M11" s="13">
        <f t="shared" si="1"/>
        <v>-33386</v>
      </c>
      <c r="N11" s="13">
        <f t="shared" si="1"/>
        <v>-27536</v>
      </c>
      <c r="O11" s="13">
        <f t="shared" si="1"/>
        <v>-18536</v>
      </c>
      <c r="P11" s="13">
        <f t="shared" si="1"/>
        <v>7364</v>
      </c>
      <c r="Q11" s="13">
        <f t="shared" si="1"/>
        <v>19614</v>
      </c>
      <c r="R11" s="13">
        <f t="shared" si="1"/>
        <v>53106</v>
      </c>
      <c r="S11" s="13">
        <f t="shared" si="1"/>
        <v>-190690</v>
      </c>
      <c r="T11" s="13">
        <f t="shared" si="1"/>
        <v>1103760</v>
      </c>
      <c r="U11" s="13">
        <f t="shared" si="1"/>
        <v>1622860</v>
      </c>
      <c r="V11" s="13">
        <f t="shared" si="1"/>
        <v>2416760</v>
      </c>
      <c r="W11" s="13">
        <f t="shared" si="1"/>
        <v>4528660</v>
      </c>
    </row>
    <row r="12" ht="14.25" customHeight="1"/>
    <row r="13" ht="14.25" customHeight="1">
      <c r="B13" s="1" t="s">
        <v>130</v>
      </c>
      <c r="S13" s="13"/>
    </row>
    <row r="14" ht="14.25" customHeight="1"/>
    <row r="15" ht="14.25" customHeight="1">
      <c r="B15" s="1" t="s">
        <v>131</v>
      </c>
      <c r="G15" s="13">
        <f>'Assumpt.-Equity &amp; Bal Sheet '!G34</f>
        <v>350000</v>
      </c>
      <c r="H15" s="13">
        <f>'Assumpt.-Equity &amp; Bal Sheet '!H34</f>
        <v>0</v>
      </c>
      <c r="I15" s="13">
        <f>'Assumpt.-Equity &amp; Bal Sheet '!I34</f>
        <v>0</v>
      </c>
      <c r="J15" s="13">
        <f>'Assumpt.-Equity &amp; Bal Sheet '!J34</f>
        <v>0</v>
      </c>
      <c r="K15" s="13">
        <f>'Assumpt.-Equity &amp; Bal Sheet '!K34</f>
        <v>0</v>
      </c>
      <c r="L15" s="13">
        <f>'Assumpt.-Equity &amp; Bal Sheet '!L34</f>
        <v>0</v>
      </c>
      <c r="M15" s="13">
        <f>'Assumpt.-Equity &amp; Bal Sheet '!M34</f>
        <v>0</v>
      </c>
      <c r="N15" s="13">
        <f>'Assumpt.-Equity &amp; Bal Sheet '!N34</f>
        <v>0</v>
      </c>
      <c r="O15" s="13">
        <f>'Assumpt.-Equity &amp; Bal Sheet '!O34</f>
        <v>0</v>
      </c>
      <c r="P15" s="13">
        <f>'Assumpt.-Equity &amp; Bal Sheet '!P34</f>
        <v>0</v>
      </c>
      <c r="Q15" s="13">
        <f>'Assumpt.-Equity &amp; Bal Sheet '!Q34</f>
        <v>0</v>
      </c>
      <c r="R15" s="13">
        <f>'Assumpt.-Equity &amp; Bal Sheet '!R34</f>
        <v>0</v>
      </c>
      <c r="S15" s="13">
        <f>'Assumpt.-Equity &amp; Bal Sheet '!S34</f>
        <v>350000</v>
      </c>
      <c r="T15" s="13">
        <f>'Assumpt.-Equity &amp; Bal Sheet '!T34</f>
        <v>150000</v>
      </c>
      <c r="U15" s="13">
        <f>'Assumpt.-Equity &amp; Bal Sheet '!U34</f>
        <v>100000</v>
      </c>
      <c r="V15" s="13">
        <f>'Assumpt.-Equity &amp; Bal Sheet '!V34</f>
        <v>100000</v>
      </c>
      <c r="W15" s="13">
        <f>'Assumpt.-Equity &amp; Bal Sheet '!W34</f>
        <v>100000</v>
      </c>
    </row>
    <row r="16" ht="14.25" customHeight="1"/>
    <row r="17" ht="14.25" customHeight="1"/>
    <row r="18" ht="14.25" customHeight="1">
      <c r="B18" s="1" t="s">
        <v>132</v>
      </c>
    </row>
    <row r="19" ht="14.25" customHeight="1"/>
    <row r="20" ht="14.25" customHeight="1">
      <c r="B20" s="1" t="s">
        <v>133</v>
      </c>
      <c r="G20" s="13">
        <f>-'Assumptions - Non-Personnel Exp'!G13</f>
        <v>0</v>
      </c>
      <c r="H20" s="13">
        <f>-'Assumptions - Non-Personnel Exp'!H13</f>
        <v>-50000</v>
      </c>
      <c r="I20" s="13">
        <f>-'Assumptions - Non-Personnel Exp'!I13</f>
        <v>-50000</v>
      </c>
      <c r="J20" s="13">
        <f>-'Assumptions - Non-Personnel Exp'!J13</f>
        <v>-50000</v>
      </c>
      <c r="K20" s="13">
        <f>-'Assumptions - Non-Personnel Exp'!K13</f>
        <v>-50000</v>
      </c>
      <c r="L20" s="13">
        <f>-'Assumptions - Non-Personnel Exp'!L13</f>
        <v>-50000</v>
      </c>
      <c r="M20" s="13">
        <f>-'Assumptions - Non-Personnel Exp'!M13</f>
        <v>-50000</v>
      </c>
      <c r="N20" s="13">
        <f>-'Assumptions - Non-Personnel Exp'!N13</f>
        <v>-50000</v>
      </c>
      <c r="O20" s="13">
        <f>-'Assumptions - Non-Personnel Exp'!O13</f>
        <v>0</v>
      </c>
      <c r="P20" s="13">
        <f>-'Assumptions - Non-Personnel Exp'!P13</f>
        <v>0</v>
      </c>
      <c r="Q20" s="13">
        <f>-'Assumptions - Non-Personnel Exp'!Q13</f>
        <v>0</v>
      </c>
      <c r="R20" s="13">
        <f>-'Assumptions - Non-Personnel Exp'!R13</f>
        <v>0</v>
      </c>
      <c r="S20" s="13">
        <f>-'Assumptions - Non-Personnel Exp'!S13</f>
        <v>-350000</v>
      </c>
      <c r="T20" s="13">
        <f>-'Assumptions - Non-Personnel Exp'!T13</f>
        <v>-150000</v>
      </c>
      <c r="U20" s="13">
        <f>-'Assumptions - Non-Personnel Exp'!U13</f>
        <v>-200000</v>
      </c>
      <c r="V20" s="13">
        <f>-'Assumptions - Non-Personnel Exp'!V13</f>
        <v>-100000</v>
      </c>
      <c r="W20" s="13">
        <f>-'Assumptions - Non-Personnel Exp'!W13</f>
        <v>-350000</v>
      </c>
    </row>
    <row r="21" ht="14.25" customHeight="1"/>
    <row r="22" ht="14.25" customHeight="1"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</row>
    <row r="23" ht="14.25" customHeight="1"/>
    <row r="24" ht="14.25" customHeight="1">
      <c r="B24" s="1" t="s">
        <v>134</v>
      </c>
      <c r="G24" s="13">
        <f t="shared" ref="G24:W24" si="2">SUM(G11:G22)</f>
        <v>310114</v>
      </c>
      <c r="H24" s="13">
        <f t="shared" si="2"/>
        <v>-77886</v>
      </c>
      <c r="I24" s="13">
        <f t="shared" si="2"/>
        <v>-77386</v>
      </c>
      <c r="J24" s="13">
        <f t="shared" si="2"/>
        <v>-79386</v>
      </c>
      <c r="K24" s="13">
        <f t="shared" si="2"/>
        <v>-83386</v>
      </c>
      <c r="L24" s="13">
        <f t="shared" si="2"/>
        <v>-83386</v>
      </c>
      <c r="M24" s="13">
        <f t="shared" si="2"/>
        <v>-83386</v>
      </c>
      <c r="N24" s="13">
        <f t="shared" si="2"/>
        <v>-77536</v>
      </c>
      <c r="O24" s="13">
        <f t="shared" si="2"/>
        <v>-18536</v>
      </c>
      <c r="P24" s="13">
        <f t="shared" si="2"/>
        <v>7364</v>
      </c>
      <c r="Q24" s="13">
        <f t="shared" si="2"/>
        <v>19614</v>
      </c>
      <c r="R24" s="13">
        <f t="shared" si="2"/>
        <v>53106</v>
      </c>
      <c r="S24" s="13">
        <f t="shared" si="2"/>
        <v>-190690</v>
      </c>
      <c r="T24" s="13">
        <f t="shared" si="2"/>
        <v>1103760</v>
      </c>
      <c r="U24" s="13">
        <f t="shared" si="2"/>
        <v>1522860</v>
      </c>
      <c r="V24" s="13">
        <f t="shared" si="2"/>
        <v>2416760</v>
      </c>
      <c r="W24" s="13">
        <f t="shared" si="2"/>
        <v>4278660</v>
      </c>
    </row>
    <row r="25" ht="14.25" customHeight="1"/>
    <row r="26" ht="14.25" customHeight="1">
      <c r="B26" s="1" t="s">
        <v>135</v>
      </c>
      <c r="G26" s="18" t="str">
        <f t="shared" ref="G26:R26" si="3">F28</f>
        <v/>
      </c>
      <c r="H26" s="18">
        <f t="shared" si="3"/>
        <v>310114</v>
      </c>
      <c r="I26" s="18">
        <f t="shared" si="3"/>
        <v>232228</v>
      </c>
      <c r="J26" s="18">
        <f t="shared" si="3"/>
        <v>154842</v>
      </c>
      <c r="K26" s="18">
        <f t="shared" si="3"/>
        <v>75456</v>
      </c>
      <c r="L26" s="18">
        <f t="shared" si="3"/>
        <v>-7930</v>
      </c>
      <c r="M26" s="18">
        <f t="shared" si="3"/>
        <v>-91316</v>
      </c>
      <c r="N26" s="18">
        <f t="shared" si="3"/>
        <v>-174702</v>
      </c>
      <c r="O26" s="18">
        <f t="shared" si="3"/>
        <v>-252238</v>
      </c>
      <c r="P26" s="18">
        <f t="shared" si="3"/>
        <v>-270774</v>
      </c>
      <c r="Q26" s="18">
        <f t="shared" si="3"/>
        <v>-263410</v>
      </c>
      <c r="R26" s="18">
        <f t="shared" si="3"/>
        <v>-243796</v>
      </c>
      <c r="S26" s="18">
        <v>0.0</v>
      </c>
      <c r="T26" s="18">
        <f t="shared" ref="T26:W26" si="4">S28</f>
        <v>-190690</v>
      </c>
      <c r="U26" s="18">
        <f t="shared" si="4"/>
        <v>913070</v>
      </c>
      <c r="V26" s="18">
        <f t="shared" si="4"/>
        <v>2435930</v>
      </c>
      <c r="W26" s="18">
        <f t="shared" si="4"/>
        <v>4852690</v>
      </c>
    </row>
    <row r="27" ht="14.25" customHeight="1"/>
    <row r="28" ht="14.25" customHeight="1">
      <c r="B28" s="1" t="s">
        <v>136</v>
      </c>
      <c r="G28" s="38">
        <f t="shared" ref="G28:W28" si="5">G24+G26</f>
        <v>310114</v>
      </c>
      <c r="H28" s="38">
        <f t="shared" si="5"/>
        <v>232228</v>
      </c>
      <c r="I28" s="38">
        <f t="shared" si="5"/>
        <v>154842</v>
      </c>
      <c r="J28" s="38">
        <f t="shared" si="5"/>
        <v>75456</v>
      </c>
      <c r="K28" s="38">
        <f t="shared" si="5"/>
        <v>-7930</v>
      </c>
      <c r="L28" s="38">
        <f t="shared" si="5"/>
        <v>-91316</v>
      </c>
      <c r="M28" s="38">
        <f t="shared" si="5"/>
        <v>-174702</v>
      </c>
      <c r="N28" s="38">
        <f t="shared" si="5"/>
        <v>-252238</v>
      </c>
      <c r="O28" s="38">
        <f t="shared" si="5"/>
        <v>-270774</v>
      </c>
      <c r="P28" s="38">
        <f t="shared" si="5"/>
        <v>-263410</v>
      </c>
      <c r="Q28" s="38">
        <f t="shared" si="5"/>
        <v>-243796</v>
      </c>
      <c r="R28" s="38">
        <f t="shared" si="5"/>
        <v>-190690</v>
      </c>
      <c r="S28" s="38">
        <f t="shared" si="5"/>
        <v>-190690</v>
      </c>
      <c r="T28" s="38">
        <f t="shared" si="5"/>
        <v>913070</v>
      </c>
      <c r="U28" s="38">
        <f t="shared" si="5"/>
        <v>2435930</v>
      </c>
      <c r="V28" s="38">
        <f t="shared" si="5"/>
        <v>4852690</v>
      </c>
      <c r="W28" s="38">
        <f t="shared" si="5"/>
        <v>9131350</v>
      </c>
    </row>
    <row r="29" ht="14.25" customHeight="1"/>
    <row r="30" ht="14.25" customHeight="1">
      <c r="S30" s="1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G3:S3"/>
    <mergeCell ref="G4:S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2023-08-23T14:18:25Z</dcterms:created>
  <dc:creator>Ben Melson</dc:creator>
</cp:coreProperties>
</file>